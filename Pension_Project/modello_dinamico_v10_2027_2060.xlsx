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onardodecorte/Documents/Claude/Projects/Progetto sistema Pensionistico/"/>
    </mc:Choice>
  </mc:AlternateContent>
  <xr:revisionPtr revIDLastSave="0" documentId="13_ncr:1_{96149272-BDCB-2049-8888-DAE535DE4961}" xr6:coauthVersionLast="47" xr6:coauthVersionMax="47" xr10:uidLastSave="{00000000-0000-0000-0000-000000000000}"/>
  <bookViews>
    <workbookView xWindow="0" yWindow="500" windowWidth="28800" windowHeight="16320" tabRatio="500" activeTab="1" xr2:uid="{00000000-000D-0000-FFFF-FFFF00000000}"/>
  </bookViews>
  <sheets>
    <sheet name="Parametri" sheetId="1" r:id="rId1"/>
    <sheet name="Modello" sheetId="2" r:id="rId2"/>
    <sheet name="Dinamica" sheetId="3" r:id="rId3"/>
    <sheet name="Modello_Pess" sheetId="4" r:id="rId4"/>
    <sheet name="Dinamica_Pess" sheetId="5" r:id="rId5"/>
    <sheet name="2060" sheetId="6" r:id="rId6"/>
    <sheet name="Output" sheetId="7" r:id="rId7"/>
    <sheet name="Fonti" sheetId="8" r:id="rId8"/>
    <sheet name="Changelog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7" l="1"/>
  <c r="B92" i="7"/>
  <c r="C91" i="7"/>
  <c r="B91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B65" i="6"/>
  <c r="C64" i="6"/>
  <c r="B64" i="6"/>
  <c r="C63" i="6"/>
  <c r="B63" i="6"/>
  <c r="D78" i="5"/>
  <c r="D77" i="5"/>
  <c r="D76" i="5"/>
  <c r="D75" i="5"/>
  <c r="D70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D68" i="5" s="1"/>
  <c r="AA38" i="4"/>
  <c r="Y38" i="4"/>
  <c r="X38" i="4"/>
  <c r="W38" i="4"/>
  <c r="V38" i="4"/>
  <c r="U38" i="4"/>
  <c r="T38" i="4"/>
  <c r="P38" i="4"/>
  <c r="N38" i="4"/>
  <c r="L38" i="4"/>
  <c r="I38" i="4"/>
  <c r="A38" i="4"/>
  <c r="AA37" i="4"/>
  <c r="Y37" i="4"/>
  <c r="X37" i="4"/>
  <c r="W37" i="4"/>
  <c r="V37" i="4"/>
  <c r="U37" i="4"/>
  <c r="T37" i="4"/>
  <c r="P37" i="4"/>
  <c r="N37" i="4"/>
  <c r="L37" i="4"/>
  <c r="I37" i="4"/>
  <c r="A37" i="4"/>
  <c r="AA36" i="4"/>
  <c r="Y36" i="4"/>
  <c r="X36" i="4"/>
  <c r="W36" i="4"/>
  <c r="V36" i="4"/>
  <c r="U36" i="4"/>
  <c r="T36" i="4"/>
  <c r="P36" i="4"/>
  <c r="N36" i="4"/>
  <c r="L36" i="4"/>
  <c r="I36" i="4"/>
  <c r="A36" i="4"/>
  <c r="AA35" i="4"/>
  <c r="Y35" i="4"/>
  <c r="X35" i="4"/>
  <c r="W35" i="4"/>
  <c r="V35" i="4"/>
  <c r="U35" i="4"/>
  <c r="T35" i="4"/>
  <c r="P35" i="4"/>
  <c r="N35" i="4"/>
  <c r="L35" i="4"/>
  <c r="I35" i="4"/>
  <c r="A35" i="4"/>
  <c r="AA34" i="4"/>
  <c r="Y34" i="4"/>
  <c r="X34" i="4"/>
  <c r="W34" i="4"/>
  <c r="V34" i="4"/>
  <c r="U34" i="4"/>
  <c r="T34" i="4"/>
  <c r="P34" i="4"/>
  <c r="N34" i="4"/>
  <c r="L34" i="4"/>
  <c r="I34" i="4"/>
  <c r="A34" i="4"/>
  <c r="AA33" i="4"/>
  <c r="Y33" i="4"/>
  <c r="X33" i="4"/>
  <c r="W33" i="4"/>
  <c r="V33" i="4"/>
  <c r="U33" i="4"/>
  <c r="T33" i="4"/>
  <c r="P33" i="4"/>
  <c r="N33" i="4"/>
  <c r="L33" i="4"/>
  <c r="I33" i="4"/>
  <c r="A33" i="4"/>
  <c r="AA32" i="4"/>
  <c r="Y32" i="4"/>
  <c r="X32" i="4"/>
  <c r="W32" i="4"/>
  <c r="V32" i="4"/>
  <c r="U32" i="4"/>
  <c r="T32" i="4"/>
  <c r="P32" i="4"/>
  <c r="N32" i="4"/>
  <c r="L32" i="4"/>
  <c r="I32" i="4"/>
  <c r="A32" i="4"/>
  <c r="AA31" i="4"/>
  <c r="Y31" i="4"/>
  <c r="X31" i="4"/>
  <c r="W31" i="4"/>
  <c r="V31" i="4"/>
  <c r="U31" i="4"/>
  <c r="T31" i="4"/>
  <c r="P31" i="4"/>
  <c r="N31" i="4"/>
  <c r="L31" i="4"/>
  <c r="I31" i="4"/>
  <c r="A31" i="4"/>
  <c r="AA30" i="4"/>
  <c r="Y30" i="4"/>
  <c r="X30" i="4"/>
  <c r="W30" i="4"/>
  <c r="V30" i="4"/>
  <c r="U30" i="4"/>
  <c r="T30" i="4"/>
  <c r="P30" i="4"/>
  <c r="N30" i="4"/>
  <c r="L30" i="4"/>
  <c r="I30" i="4"/>
  <c r="A30" i="4"/>
  <c r="AA29" i="4"/>
  <c r="Y29" i="4"/>
  <c r="X29" i="4"/>
  <c r="W29" i="4"/>
  <c r="V29" i="4"/>
  <c r="U29" i="4"/>
  <c r="T29" i="4"/>
  <c r="P29" i="4"/>
  <c r="N29" i="4"/>
  <c r="L29" i="4"/>
  <c r="I29" i="4"/>
  <c r="A29" i="4"/>
  <c r="AA28" i="4"/>
  <c r="Y28" i="4"/>
  <c r="X28" i="4"/>
  <c r="W28" i="4"/>
  <c r="V28" i="4"/>
  <c r="U28" i="4"/>
  <c r="T28" i="4"/>
  <c r="P28" i="4"/>
  <c r="N28" i="4"/>
  <c r="L28" i="4"/>
  <c r="I28" i="4"/>
  <c r="A28" i="4"/>
  <c r="AA27" i="4"/>
  <c r="Y27" i="4"/>
  <c r="X27" i="4"/>
  <c r="W27" i="4"/>
  <c r="V27" i="4"/>
  <c r="U27" i="4"/>
  <c r="T27" i="4"/>
  <c r="P27" i="4"/>
  <c r="N27" i="4"/>
  <c r="L27" i="4"/>
  <c r="I27" i="4"/>
  <c r="A27" i="4"/>
  <c r="AA26" i="4"/>
  <c r="Y26" i="4"/>
  <c r="X26" i="4"/>
  <c r="W26" i="4"/>
  <c r="V26" i="4"/>
  <c r="U26" i="4"/>
  <c r="T26" i="4"/>
  <c r="P26" i="4"/>
  <c r="N26" i="4"/>
  <c r="L26" i="4"/>
  <c r="I26" i="4"/>
  <c r="A26" i="4"/>
  <c r="AA25" i="4"/>
  <c r="Y25" i="4"/>
  <c r="X25" i="4"/>
  <c r="W25" i="4"/>
  <c r="V25" i="4"/>
  <c r="U25" i="4"/>
  <c r="T25" i="4"/>
  <c r="P25" i="4"/>
  <c r="N25" i="4"/>
  <c r="L25" i="4"/>
  <c r="I25" i="4"/>
  <c r="A25" i="4"/>
  <c r="AA24" i="4"/>
  <c r="Y24" i="4"/>
  <c r="X24" i="4"/>
  <c r="W24" i="4"/>
  <c r="V24" i="4"/>
  <c r="U24" i="4"/>
  <c r="T24" i="4"/>
  <c r="P24" i="4"/>
  <c r="N24" i="4"/>
  <c r="L24" i="4"/>
  <c r="I24" i="4"/>
  <c r="A24" i="4"/>
  <c r="AA23" i="4"/>
  <c r="Y23" i="4"/>
  <c r="X23" i="4"/>
  <c r="W23" i="4"/>
  <c r="V23" i="4"/>
  <c r="U23" i="4"/>
  <c r="T23" i="4"/>
  <c r="P23" i="4"/>
  <c r="N23" i="4"/>
  <c r="L23" i="4"/>
  <c r="I23" i="4"/>
  <c r="A23" i="4"/>
  <c r="AA22" i="4"/>
  <c r="Y22" i="4"/>
  <c r="X22" i="4"/>
  <c r="W22" i="4"/>
  <c r="V22" i="4"/>
  <c r="U22" i="4"/>
  <c r="T22" i="4"/>
  <c r="P22" i="4"/>
  <c r="N22" i="4"/>
  <c r="L22" i="4"/>
  <c r="I22" i="4"/>
  <c r="A22" i="4"/>
  <c r="AA21" i="4"/>
  <c r="Y21" i="4"/>
  <c r="X21" i="4"/>
  <c r="W21" i="4"/>
  <c r="V21" i="4"/>
  <c r="U21" i="4"/>
  <c r="T21" i="4"/>
  <c r="P21" i="4"/>
  <c r="N21" i="4"/>
  <c r="L21" i="4"/>
  <c r="I21" i="4"/>
  <c r="A21" i="4"/>
  <c r="AA20" i="4"/>
  <c r="Y20" i="4"/>
  <c r="X20" i="4"/>
  <c r="W20" i="4"/>
  <c r="V20" i="4"/>
  <c r="U20" i="4"/>
  <c r="T20" i="4"/>
  <c r="P20" i="4"/>
  <c r="N20" i="4"/>
  <c r="L20" i="4"/>
  <c r="I20" i="4"/>
  <c r="A20" i="4"/>
  <c r="AD19" i="4"/>
  <c r="AA19" i="4"/>
  <c r="Y19" i="4"/>
  <c r="X19" i="4"/>
  <c r="W19" i="4"/>
  <c r="V19" i="4"/>
  <c r="U19" i="4"/>
  <c r="T19" i="4"/>
  <c r="P19" i="4"/>
  <c r="N19" i="4"/>
  <c r="L19" i="4"/>
  <c r="I19" i="4"/>
  <c r="A19" i="4"/>
  <c r="AD18" i="4"/>
  <c r="AA18" i="4"/>
  <c r="Y18" i="4"/>
  <c r="X18" i="4"/>
  <c r="W18" i="4"/>
  <c r="V18" i="4"/>
  <c r="U18" i="4"/>
  <c r="T18" i="4"/>
  <c r="P18" i="4"/>
  <c r="N18" i="4"/>
  <c r="L18" i="4"/>
  <c r="I18" i="4"/>
  <c r="A18" i="4"/>
  <c r="AD17" i="4"/>
  <c r="AA17" i="4"/>
  <c r="Y17" i="4"/>
  <c r="X17" i="4"/>
  <c r="W17" i="4"/>
  <c r="V17" i="4"/>
  <c r="U17" i="4"/>
  <c r="T17" i="4"/>
  <c r="P17" i="4"/>
  <c r="N17" i="4"/>
  <c r="L17" i="4"/>
  <c r="I17" i="4"/>
  <c r="A17" i="4"/>
  <c r="AD16" i="4"/>
  <c r="AA16" i="4"/>
  <c r="Y16" i="4"/>
  <c r="X16" i="4"/>
  <c r="W16" i="4"/>
  <c r="V16" i="4"/>
  <c r="U16" i="4"/>
  <c r="T16" i="4"/>
  <c r="P16" i="4"/>
  <c r="N16" i="4"/>
  <c r="L16" i="4"/>
  <c r="I16" i="4"/>
  <c r="A16" i="4"/>
  <c r="AD15" i="4"/>
  <c r="AA15" i="4"/>
  <c r="Y15" i="4"/>
  <c r="X15" i="4"/>
  <c r="W15" i="4"/>
  <c r="V15" i="4"/>
  <c r="U15" i="4"/>
  <c r="T15" i="4"/>
  <c r="P15" i="4"/>
  <c r="N15" i="4"/>
  <c r="L15" i="4"/>
  <c r="I15" i="4"/>
  <c r="A15" i="4"/>
  <c r="AD14" i="4"/>
  <c r="AA14" i="4"/>
  <c r="Y14" i="4"/>
  <c r="X14" i="4"/>
  <c r="W14" i="4"/>
  <c r="V14" i="4"/>
  <c r="U14" i="4"/>
  <c r="T14" i="4"/>
  <c r="P14" i="4"/>
  <c r="N14" i="4"/>
  <c r="L14" i="4"/>
  <c r="I14" i="4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A14" i="4"/>
  <c r="AD13" i="4"/>
  <c r="AA13" i="4"/>
  <c r="Y13" i="4"/>
  <c r="X13" i="4"/>
  <c r="W13" i="4"/>
  <c r="V13" i="4"/>
  <c r="U13" i="4"/>
  <c r="T13" i="4"/>
  <c r="P13" i="4"/>
  <c r="N13" i="4"/>
  <c r="L13" i="4"/>
  <c r="I13" i="4"/>
  <c r="A13" i="4"/>
  <c r="AD12" i="4"/>
  <c r="AA12" i="4"/>
  <c r="Y12" i="4"/>
  <c r="X12" i="4"/>
  <c r="W12" i="4"/>
  <c r="V12" i="4"/>
  <c r="U12" i="4"/>
  <c r="T12" i="4"/>
  <c r="P12" i="4"/>
  <c r="N12" i="4"/>
  <c r="L12" i="4"/>
  <c r="I12" i="4"/>
  <c r="A12" i="4"/>
  <c r="AD11" i="4"/>
  <c r="AA11" i="4"/>
  <c r="Y11" i="4"/>
  <c r="X11" i="4"/>
  <c r="W11" i="4"/>
  <c r="V11" i="4"/>
  <c r="U11" i="4"/>
  <c r="T11" i="4"/>
  <c r="P11" i="4"/>
  <c r="N11" i="4"/>
  <c r="L11" i="4"/>
  <c r="I11" i="4"/>
  <c r="A11" i="4"/>
  <c r="AD10" i="4"/>
  <c r="AA10" i="4"/>
  <c r="Y10" i="4"/>
  <c r="X10" i="4"/>
  <c r="W10" i="4"/>
  <c r="V10" i="4"/>
  <c r="U10" i="4"/>
  <c r="T10" i="4"/>
  <c r="P10" i="4"/>
  <c r="N10" i="4"/>
  <c r="L10" i="4"/>
  <c r="I10" i="4"/>
  <c r="A10" i="4"/>
  <c r="AD9" i="4"/>
  <c r="AA9" i="4"/>
  <c r="Y9" i="4"/>
  <c r="X9" i="4"/>
  <c r="W9" i="4"/>
  <c r="V9" i="4"/>
  <c r="U9" i="4"/>
  <c r="T9" i="4"/>
  <c r="P9" i="4"/>
  <c r="N9" i="4"/>
  <c r="L9" i="4"/>
  <c r="I9" i="4"/>
  <c r="A9" i="4"/>
  <c r="AD8" i="4"/>
  <c r="AA8" i="4"/>
  <c r="Y8" i="4"/>
  <c r="X8" i="4"/>
  <c r="W8" i="4"/>
  <c r="V8" i="4"/>
  <c r="U8" i="4"/>
  <c r="T8" i="4"/>
  <c r="P8" i="4"/>
  <c r="N8" i="4"/>
  <c r="L8" i="4"/>
  <c r="I8" i="4"/>
  <c r="A8" i="4"/>
  <c r="AD7" i="4"/>
  <c r="AA7" i="4"/>
  <c r="Y7" i="4"/>
  <c r="X7" i="4"/>
  <c r="W7" i="4"/>
  <c r="V7" i="4"/>
  <c r="U7" i="4"/>
  <c r="T7" i="4"/>
  <c r="P7" i="4"/>
  <c r="N7" i="4"/>
  <c r="L7" i="4"/>
  <c r="I7" i="4"/>
  <c r="F7" i="4"/>
  <c r="A7" i="4"/>
  <c r="AD6" i="4"/>
  <c r="AA6" i="4"/>
  <c r="Y6" i="4"/>
  <c r="X6" i="4"/>
  <c r="W6" i="4"/>
  <c r="V6" i="4"/>
  <c r="U6" i="4"/>
  <c r="T6" i="4"/>
  <c r="P6" i="4"/>
  <c r="N6" i="4"/>
  <c r="L6" i="4"/>
  <c r="I6" i="4"/>
  <c r="G6" i="4"/>
  <c r="G7" i="4" s="1"/>
  <c r="G8" i="4" s="1"/>
  <c r="G9" i="4" s="1"/>
  <c r="G10" i="4" s="1"/>
  <c r="G11" i="4" s="1"/>
  <c r="G12" i="4" s="1"/>
  <c r="G13" i="4" s="1"/>
  <c r="F6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A6" i="4"/>
  <c r="AD5" i="4"/>
  <c r="AA5" i="4"/>
  <c r="Y5" i="4"/>
  <c r="X5" i="4"/>
  <c r="W5" i="4"/>
  <c r="V5" i="4"/>
  <c r="U5" i="4"/>
  <c r="T5" i="4"/>
  <c r="P5" i="4"/>
  <c r="N5" i="4"/>
  <c r="L5" i="4"/>
  <c r="I5" i="4"/>
  <c r="G5" i="4"/>
  <c r="F5" i="4"/>
  <c r="D5" i="4"/>
  <c r="C5" i="4"/>
  <c r="A5" i="4"/>
  <c r="AJ103" i="3"/>
  <c r="AJ41" i="7" s="1"/>
  <c r="AK100" i="3"/>
  <c r="AC100" i="3"/>
  <c r="Z100" i="3"/>
  <c r="L100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D78" i="3"/>
  <c r="D77" i="3"/>
  <c r="D76" i="3"/>
  <c r="D75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AA38" i="2"/>
  <c r="AK31" i="7" s="1"/>
  <c r="Y38" i="2"/>
  <c r="X38" i="2"/>
  <c r="W38" i="2"/>
  <c r="V38" i="2"/>
  <c r="U38" i="2"/>
  <c r="T38" i="2"/>
  <c r="P38" i="2"/>
  <c r="N38" i="2"/>
  <c r="L38" i="2"/>
  <c r="I38" i="2"/>
  <c r="A38" i="2"/>
  <c r="AA37" i="2"/>
  <c r="Y37" i="2"/>
  <c r="X37" i="2"/>
  <c r="W37" i="2"/>
  <c r="V37" i="2"/>
  <c r="U37" i="2"/>
  <c r="T37" i="2"/>
  <c r="P37" i="2"/>
  <c r="N37" i="2"/>
  <c r="L37" i="2"/>
  <c r="I37" i="2"/>
  <c r="A37" i="2"/>
  <c r="AA36" i="2"/>
  <c r="Y36" i="2"/>
  <c r="X36" i="2"/>
  <c r="W36" i="2"/>
  <c r="V36" i="2"/>
  <c r="U36" i="2"/>
  <c r="T36" i="2"/>
  <c r="P36" i="2"/>
  <c r="N36" i="2"/>
  <c r="L36" i="2"/>
  <c r="I36" i="2"/>
  <c r="A36" i="2"/>
  <c r="AA35" i="2"/>
  <c r="Y35" i="2"/>
  <c r="X35" i="2"/>
  <c r="W35" i="2"/>
  <c r="V35" i="2"/>
  <c r="U35" i="2"/>
  <c r="T35" i="2"/>
  <c r="P35" i="2"/>
  <c r="N35" i="2"/>
  <c r="L35" i="2"/>
  <c r="I35" i="2"/>
  <c r="A35" i="2"/>
  <c r="AA34" i="2"/>
  <c r="Y34" i="2"/>
  <c r="X34" i="2"/>
  <c r="W34" i="2"/>
  <c r="V34" i="2"/>
  <c r="U34" i="2"/>
  <c r="T34" i="2"/>
  <c r="P34" i="2"/>
  <c r="N34" i="2"/>
  <c r="L34" i="2"/>
  <c r="I34" i="2"/>
  <c r="A34" i="2"/>
  <c r="AA33" i="2"/>
  <c r="Y33" i="2"/>
  <c r="X33" i="2"/>
  <c r="W33" i="2"/>
  <c r="V33" i="2"/>
  <c r="U33" i="2"/>
  <c r="T33" i="2"/>
  <c r="P33" i="2"/>
  <c r="N33" i="2"/>
  <c r="L33" i="2"/>
  <c r="I33" i="2"/>
  <c r="A33" i="2"/>
  <c r="AA32" i="2"/>
  <c r="Y32" i="2"/>
  <c r="X32" i="2"/>
  <c r="W32" i="2"/>
  <c r="V32" i="2"/>
  <c r="U32" i="2"/>
  <c r="T32" i="2"/>
  <c r="P32" i="2"/>
  <c r="N32" i="2"/>
  <c r="L32" i="2"/>
  <c r="I32" i="2"/>
  <c r="A32" i="2"/>
  <c r="AA31" i="2"/>
  <c r="Y31" i="2"/>
  <c r="X31" i="2"/>
  <c r="W31" i="2"/>
  <c r="V31" i="2"/>
  <c r="U31" i="2"/>
  <c r="T31" i="2"/>
  <c r="P31" i="2"/>
  <c r="N31" i="2"/>
  <c r="L31" i="2"/>
  <c r="I31" i="2"/>
  <c r="A31" i="2"/>
  <c r="AA30" i="2"/>
  <c r="AC31" i="7" s="1"/>
  <c r="Y30" i="2"/>
  <c r="X30" i="2"/>
  <c r="W30" i="2"/>
  <c r="V30" i="2"/>
  <c r="U30" i="2"/>
  <c r="T30" i="2"/>
  <c r="P30" i="2"/>
  <c r="N30" i="2"/>
  <c r="L30" i="2"/>
  <c r="I30" i="2"/>
  <c r="A30" i="2"/>
  <c r="AA29" i="2"/>
  <c r="AB31" i="7" s="1"/>
  <c r="Y29" i="2"/>
  <c r="X29" i="2"/>
  <c r="W29" i="2"/>
  <c r="V29" i="2"/>
  <c r="U29" i="2"/>
  <c r="T29" i="2"/>
  <c r="P29" i="2"/>
  <c r="N29" i="2"/>
  <c r="L29" i="2"/>
  <c r="I29" i="2"/>
  <c r="A29" i="2"/>
  <c r="AA28" i="2"/>
  <c r="Y28" i="2"/>
  <c r="X28" i="2"/>
  <c r="W28" i="2"/>
  <c r="V28" i="2"/>
  <c r="U28" i="2"/>
  <c r="T28" i="2"/>
  <c r="P28" i="2"/>
  <c r="N28" i="2"/>
  <c r="L28" i="2"/>
  <c r="I28" i="2"/>
  <c r="A28" i="2"/>
  <c r="AA27" i="2"/>
  <c r="Z31" i="7" s="1"/>
  <c r="Y27" i="2"/>
  <c r="X27" i="2"/>
  <c r="W27" i="2"/>
  <c r="V27" i="2"/>
  <c r="U27" i="2"/>
  <c r="T27" i="2"/>
  <c r="P27" i="2"/>
  <c r="N27" i="2"/>
  <c r="L27" i="2"/>
  <c r="I27" i="2"/>
  <c r="A27" i="2"/>
  <c r="AA26" i="2"/>
  <c r="Y26" i="2"/>
  <c r="X26" i="2"/>
  <c r="W26" i="2"/>
  <c r="V26" i="2"/>
  <c r="U26" i="2"/>
  <c r="T26" i="2"/>
  <c r="P26" i="2"/>
  <c r="N26" i="2"/>
  <c r="L26" i="2"/>
  <c r="I26" i="2"/>
  <c r="A26" i="2"/>
  <c r="AA25" i="2"/>
  <c r="Y25" i="2"/>
  <c r="X25" i="2"/>
  <c r="W25" i="2"/>
  <c r="V25" i="2"/>
  <c r="U25" i="2"/>
  <c r="T25" i="2"/>
  <c r="P25" i="2"/>
  <c r="N25" i="2"/>
  <c r="L25" i="2"/>
  <c r="I25" i="2"/>
  <c r="A25" i="2"/>
  <c r="AA24" i="2"/>
  <c r="Y24" i="2"/>
  <c r="X24" i="2"/>
  <c r="W24" i="2"/>
  <c r="V24" i="2"/>
  <c r="U24" i="2"/>
  <c r="T24" i="2"/>
  <c r="P24" i="2"/>
  <c r="N24" i="2"/>
  <c r="L24" i="2"/>
  <c r="I24" i="2"/>
  <c r="A24" i="2"/>
  <c r="AA23" i="2"/>
  <c r="AK103" i="3" s="1"/>
  <c r="AK41" i="7" s="1"/>
  <c r="Y23" i="2"/>
  <c r="X23" i="2"/>
  <c r="W23" i="2"/>
  <c r="V23" i="2"/>
  <c r="U23" i="2"/>
  <c r="T23" i="2"/>
  <c r="P23" i="2"/>
  <c r="N23" i="2"/>
  <c r="L23" i="2"/>
  <c r="I23" i="2"/>
  <c r="A23" i="2"/>
  <c r="AA22" i="2"/>
  <c r="U31" i="7" s="1"/>
  <c r="Y22" i="2"/>
  <c r="X22" i="2"/>
  <c r="W22" i="2"/>
  <c r="V22" i="2"/>
  <c r="U22" i="2"/>
  <c r="T22" i="2"/>
  <c r="P22" i="2"/>
  <c r="N22" i="2"/>
  <c r="L22" i="2"/>
  <c r="I22" i="2"/>
  <c r="A22" i="2"/>
  <c r="AA21" i="2"/>
  <c r="Y21" i="2"/>
  <c r="X21" i="2"/>
  <c r="W21" i="2"/>
  <c r="V21" i="2"/>
  <c r="U21" i="2"/>
  <c r="T21" i="2"/>
  <c r="P21" i="2"/>
  <c r="N21" i="2"/>
  <c r="L21" i="2"/>
  <c r="I21" i="2"/>
  <c r="A21" i="2"/>
  <c r="AA20" i="2"/>
  <c r="Y20" i="2"/>
  <c r="X20" i="2"/>
  <c r="W20" i="2"/>
  <c r="V20" i="2"/>
  <c r="U20" i="2"/>
  <c r="T20" i="2"/>
  <c r="P20" i="2"/>
  <c r="N20" i="2"/>
  <c r="L20" i="2"/>
  <c r="I20" i="2"/>
  <c r="A20" i="2"/>
  <c r="AD19" i="2"/>
  <c r="AA19" i="2"/>
  <c r="Y19" i="2"/>
  <c r="X19" i="2"/>
  <c r="W19" i="2"/>
  <c r="V19" i="2"/>
  <c r="U19" i="2"/>
  <c r="T19" i="2"/>
  <c r="P19" i="2"/>
  <c r="N19" i="2"/>
  <c r="L19" i="2"/>
  <c r="I19" i="2"/>
  <c r="A19" i="2"/>
  <c r="AD18" i="2"/>
  <c r="AA18" i="2"/>
  <c r="Y18" i="2"/>
  <c r="X18" i="2"/>
  <c r="W18" i="2"/>
  <c r="V18" i="2"/>
  <c r="U18" i="2"/>
  <c r="T18" i="2"/>
  <c r="P18" i="2"/>
  <c r="N18" i="2"/>
  <c r="L18" i="2"/>
  <c r="I18" i="2"/>
  <c r="A18" i="2"/>
  <c r="AD17" i="2"/>
  <c r="AA17" i="2"/>
  <c r="Y17" i="2"/>
  <c r="X17" i="2"/>
  <c r="W17" i="2"/>
  <c r="V17" i="2"/>
  <c r="U17" i="2"/>
  <c r="T17" i="2"/>
  <c r="P17" i="2"/>
  <c r="N17" i="2"/>
  <c r="L17" i="2"/>
  <c r="I17" i="2"/>
  <c r="A17" i="2"/>
  <c r="AD16" i="2"/>
  <c r="AA16" i="2"/>
  <c r="Y16" i="2"/>
  <c r="X16" i="2"/>
  <c r="W16" i="2"/>
  <c r="V16" i="2"/>
  <c r="U16" i="2"/>
  <c r="T16" i="2"/>
  <c r="P16" i="2"/>
  <c r="N16" i="2"/>
  <c r="L16" i="2"/>
  <c r="I16" i="2"/>
  <c r="A16" i="2"/>
  <c r="AD15" i="2"/>
  <c r="AA15" i="2"/>
  <c r="Y15" i="2"/>
  <c r="X15" i="2"/>
  <c r="W15" i="2"/>
  <c r="V15" i="2"/>
  <c r="U15" i="2"/>
  <c r="T15" i="2"/>
  <c r="P15" i="2"/>
  <c r="N15" i="2"/>
  <c r="L15" i="2"/>
  <c r="I15" i="2"/>
  <c r="A15" i="2"/>
  <c r="AD14" i="2"/>
  <c r="AA14" i="2"/>
  <c r="Y14" i="2"/>
  <c r="X14" i="2"/>
  <c r="W14" i="2"/>
  <c r="V14" i="2"/>
  <c r="U14" i="2"/>
  <c r="T14" i="2"/>
  <c r="P14" i="2"/>
  <c r="N14" i="2"/>
  <c r="L14" i="2"/>
  <c r="I14" i="2"/>
  <c r="A14" i="2"/>
  <c r="AD13" i="2"/>
  <c r="AA13" i="2"/>
  <c r="Y13" i="2"/>
  <c r="X13" i="2"/>
  <c r="W13" i="2"/>
  <c r="V13" i="2"/>
  <c r="U13" i="2"/>
  <c r="T13" i="2"/>
  <c r="P13" i="2"/>
  <c r="N13" i="2"/>
  <c r="L13" i="2"/>
  <c r="I13" i="2"/>
  <c r="A13" i="2"/>
  <c r="AD12" i="2"/>
  <c r="AA12" i="2"/>
  <c r="Y12" i="2"/>
  <c r="X12" i="2"/>
  <c r="W12" i="2"/>
  <c r="V12" i="2"/>
  <c r="U12" i="2"/>
  <c r="T12" i="2"/>
  <c r="P12" i="2"/>
  <c r="N12" i="2"/>
  <c r="L12" i="2"/>
  <c r="I12" i="2"/>
  <c r="A12" i="2"/>
  <c r="AD11" i="2"/>
  <c r="AA11" i="2"/>
  <c r="J100" i="3" s="1"/>
  <c r="Y11" i="2"/>
  <c r="X11" i="2"/>
  <c r="W11" i="2"/>
  <c r="V11" i="2"/>
  <c r="U11" i="2"/>
  <c r="T11" i="2"/>
  <c r="P11" i="2"/>
  <c r="N11" i="2"/>
  <c r="L11" i="2"/>
  <c r="I11" i="2"/>
  <c r="A11" i="2"/>
  <c r="AD10" i="2"/>
  <c r="AA10" i="2"/>
  <c r="Y10" i="2"/>
  <c r="X10" i="2"/>
  <c r="W10" i="2"/>
  <c r="V10" i="2"/>
  <c r="U10" i="2"/>
  <c r="T10" i="2"/>
  <c r="P10" i="2"/>
  <c r="N10" i="2"/>
  <c r="L10" i="2"/>
  <c r="I10" i="2"/>
  <c r="A10" i="2"/>
  <c r="AD9" i="2"/>
  <c r="AA9" i="2"/>
  <c r="Y9" i="2"/>
  <c r="X9" i="2"/>
  <c r="W9" i="2"/>
  <c r="V9" i="2"/>
  <c r="U9" i="2"/>
  <c r="T9" i="2"/>
  <c r="P9" i="2"/>
  <c r="N9" i="2"/>
  <c r="L9" i="2"/>
  <c r="I9" i="2"/>
  <c r="A9" i="2"/>
  <c r="AD8" i="2"/>
  <c r="AA8" i="2"/>
  <c r="Y8" i="2"/>
  <c r="X8" i="2"/>
  <c r="W8" i="2"/>
  <c r="V8" i="2"/>
  <c r="U8" i="2"/>
  <c r="T8" i="2"/>
  <c r="P8" i="2"/>
  <c r="N8" i="2"/>
  <c r="L8" i="2"/>
  <c r="I8" i="2"/>
  <c r="A8" i="2"/>
  <c r="AD7" i="2"/>
  <c r="AA7" i="2"/>
  <c r="Y7" i="2"/>
  <c r="X7" i="2"/>
  <c r="W7" i="2"/>
  <c r="V7" i="2"/>
  <c r="U7" i="2"/>
  <c r="T7" i="2"/>
  <c r="P7" i="2"/>
  <c r="N7" i="2"/>
  <c r="L7" i="2"/>
  <c r="I7" i="2"/>
  <c r="A7" i="2"/>
  <c r="AD6" i="2"/>
  <c r="AA6" i="2"/>
  <c r="Y6" i="2"/>
  <c r="X6" i="2"/>
  <c r="W6" i="2"/>
  <c r="V6" i="2"/>
  <c r="U6" i="2"/>
  <c r="T6" i="2"/>
  <c r="P6" i="2"/>
  <c r="N6" i="2"/>
  <c r="L6" i="2"/>
  <c r="I6" i="2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A6" i="2"/>
  <c r="AD5" i="2"/>
  <c r="AA5" i="2"/>
  <c r="Y5" i="2"/>
  <c r="X5" i="2"/>
  <c r="W5" i="2"/>
  <c r="V5" i="2"/>
  <c r="U5" i="2"/>
  <c r="T5" i="2"/>
  <c r="P5" i="2"/>
  <c r="N5" i="2"/>
  <c r="L5" i="2"/>
  <c r="M5" i="2" s="1"/>
  <c r="I5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F5" i="2"/>
  <c r="D5" i="2"/>
  <c r="C5" i="2"/>
  <c r="A5" i="2"/>
  <c r="B161" i="1"/>
  <c r="B156" i="1"/>
  <c r="B155" i="1"/>
  <c r="B145" i="1"/>
  <c r="B44" i="1"/>
  <c r="B40" i="1"/>
  <c r="B10" i="1"/>
  <c r="AB6" i="7" l="1"/>
  <c r="D6" i="2"/>
  <c r="B89" i="7"/>
  <c r="D11" i="7"/>
  <c r="H5" i="2"/>
  <c r="F6" i="2"/>
  <c r="T6" i="7"/>
  <c r="AJ6" i="7"/>
  <c r="Z5" i="2"/>
  <c r="Q5" i="2"/>
  <c r="O5" i="2"/>
  <c r="X6" i="7"/>
  <c r="AF6" i="7"/>
  <c r="AA101" i="3"/>
  <c r="G31" i="7"/>
  <c r="G100" i="3"/>
  <c r="V103" i="3"/>
  <c r="V41" i="7" s="1"/>
  <c r="K101" i="3"/>
  <c r="Q6" i="7"/>
  <c r="W6" i="7"/>
  <c r="AA6" i="7"/>
  <c r="AE6" i="7"/>
  <c r="AI6" i="7"/>
  <c r="I6" i="7"/>
  <c r="O31" i="7"/>
  <c r="O100" i="3"/>
  <c r="AD103" i="3"/>
  <c r="AD41" i="7" s="1"/>
  <c r="D6" i="4"/>
  <c r="E5" i="4"/>
  <c r="H31" i="7"/>
  <c r="H100" i="3"/>
  <c r="W103" i="3"/>
  <c r="W41" i="7" s="1"/>
  <c r="P31" i="7"/>
  <c r="P100" i="3"/>
  <c r="AE103" i="3"/>
  <c r="AE41" i="7" s="1"/>
  <c r="R6" i="7"/>
  <c r="T31" i="7"/>
  <c r="AI103" i="3"/>
  <c r="AI41" i="7" s="1"/>
  <c r="T100" i="3"/>
  <c r="E31" i="7"/>
  <c r="E100" i="3"/>
  <c r="G6" i="7"/>
  <c r="M31" i="7"/>
  <c r="AB103" i="3"/>
  <c r="AB41" i="7" s="1"/>
  <c r="W31" i="7"/>
  <c r="W100" i="3"/>
  <c r="AA31" i="7"/>
  <c r="AA100" i="3"/>
  <c r="AE31" i="7"/>
  <c r="AE100" i="3"/>
  <c r="AI31" i="7"/>
  <c r="AI100" i="3"/>
  <c r="D70" i="3"/>
  <c r="D69" i="3"/>
  <c r="H101" i="3"/>
  <c r="AE83" i="5"/>
  <c r="F12" i="7"/>
  <c r="H7" i="4"/>
  <c r="F8" i="4"/>
  <c r="AD32" i="7"/>
  <c r="AD82" i="5"/>
  <c r="J6" i="7"/>
  <c r="O6" i="7"/>
  <c r="E5" i="2"/>
  <c r="AC5" i="2"/>
  <c r="F31" i="7"/>
  <c r="F100" i="3"/>
  <c r="H6" i="7"/>
  <c r="N31" i="7"/>
  <c r="N100" i="3"/>
  <c r="AC103" i="3"/>
  <c r="AC41" i="7" s="1"/>
  <c r="P6" i="7"/>
  <c r="J101" i="3"/>
  <c r="M32" i="7"/>
  <c r="AB85" i="5"/>
  <c r="AB42" i="7" s="1"/>
  <c r="M82" i="5"/>
  <c r="AI32" i="7"/>
  <c r="AI82" i="5"/>
  <c r="M100" i="3"/>
  <c r="X101" i="3"/>
  <c r="V32" i="7"/>
  <c r="AK85" i="5"/>
  <c r="AK42" i="7" s="1"/>
  <c r="V82" i="5"/>
  <c r="Z101" i="3"/>
  <c r="AJ31" i="7"/>
  <c r="AJ100" i="3"/>
  <c r="I31" i="7"/>
  <c r="I100" i="3"/>
  <c r="X103" i="3"/>
  <c r="X41" i="7" s="1"/>
  <c r="K6" i="7"/>
  <c r="S6" i="7"/>
  <c r="T85" i="5"/>
  <c r="T42" i="7" s="1"/>
  <c r="E32" i="7"/>
  <c r="E82" i="5"/>
  <c r="AC83" i="5"/>
  <c r="AE84" i="5"/>
  <c r="AC84" i="5"/>
  <c r="I84" i="5"/>
  <c r="B84" i="5"/>
  <c r="H84" i="5"/>
  <c r="AJ84" i="5"/>
  <c r="Z84" i="5"/>
  <c r="AI102" i="3"/>
  <c r="K102" i="3"/>
  <c r="B102" i="3"/>
  <c r="Z102" i="3"/>
  <c r="R102" i="3"/>
  <c r="J102" i="3"/>
  <c r="AD102" i="3"/>
  <c r="V102" i="3"/>
  <c r="AC102" i="3"/>
  <c r="I102" i="3"/>
  <c r="D6" i="7"/>
  <c r="J31" i="7"/>
  <c r="Y103" i="3"/>
  <c r="Y41" i="7" s="1"/>
  <c r="L6" i="7"/>
  <c r="R31" i="7"/>
  <c r="AG103" i="3"/>
  <c r="AG41" i="7" s="1"/>
  <c r="R100" i="3"/>
  <c r="S31" i="7"/>
  <c r="S100" i="3"/>
  <c r="D68" i="3"/>
  <c r="AB100" i="3"/>
  <c r="T103" i="3"/>
  <c r="T41" i="7" s="1"/>
  <c r="X31" i="7"/>
  <c r="X100" i="3"/>
  <c r="AF31" i="7"/>
  <c r="AF100" i="3"/>
  <c r="Q31" i="7"/>
  <c r="Q100" i="3"/>
  <c r="AF103" i="3"/>
  <c r="AF41" i="7" s="1"/>
  <c r="E6" i="7"/>
  <c r="K31" i="7"/>
  <c r="K100" i="3"/>
  <c r="Z103" i="3"/>
  <c r="Z41" i="7" s="1"/>
  <c r="M6" i="7"/>
  <c r="U6" i="7"/>
  <c r="Y6" i="7"/>
  <c r="AC6" i="7"/>
  <c r="AG6" i="7"/>
  <c r="AK6" i="7"/>
  <c r="E102" i="3"/>
  <c r="U103" i="3"/>
  <c r="U41" i="7" s="1"/>
  <c r="E12" i="7"/>
  <c r="H6" i="4"/>
  <c r="D71" i="3"/>
  <c r="D31" i="7"/>
  <c r="AE101" i="3"/>
  <c r="W101" i="3"/>
  <c r="O101" i="3"/>
  <c r="O102" i="3" s="1"/>
  <c r="G101" i="3"/>
  <c r="G102" i="3" s="1"/>
  <c r="AD101" i="3"/>
  <c r="V101" i="3"/>
  <c r="N101" i="3"/>
  <c r="N102" i="3" s="1"/>
  <c r="F101" i="3"/>
  <c r="F102" i="3" s="1"/>
  <c r="AK101" i="3"/>
  <c r="AC101" i="3"/>
  <c r="U101" i="3"/>
  <c r="M101" i="3"/>
  <c r="M102" i="3" s="1"/>
  <c r="E101" i="3"/>
  <c r="S103" i="3"/>
  <c r="S41" i="7" s="1"/>
  <c r="AG101" i="3"/>
  <c r="AG102" i="3" s="1"/>
  <c r="Y101" i="3"/>
  <c r="Y102" i="3" s="1"/>
  <c r="Q101" i="3"/>
  <c r="I101" i="3"/>
  <c r="AH101" i="3"/>
  <c r="AH102" i="3" s="1"/>
  <c r="R101" i="3"/>
  <c r="D100" i="3"/>
  <c r="AF101" i="3"/>
  <c r="P101" i="3"/>
  <c r="AB101" i="3"/>
  <c r="L101" i="3"/>
  <c r="AJ101" i="3"/>
  <c r="T101" i="3"/>
  <c r="T102" i="3" s="1"/>
  <c r="D101" i="3"/>
  <c r="D102" i="3" s="1"/>
  <c r="AI101" i="3"/>
  <c r="S101" i="3"/>
  <c r="F6" i="7"/>
  <c r="L31" i="7"/>
  <c r="AA103" i="3"/>
  <c r="AA41" i="7" s="1"/>
  <c r="N6" i="7"/>
  <c r="V31" i="7"/>
  <c r="V100" i="3"/>
  <c r="AD31" i="7"/>
  <c r="AD100" i="3"/>
  <c r="AH31" i="7"/>
  <c r="AH100" i="3"/>
  <c r="AH103" i="3"/>
  <c r="AH41" i="7" s="1"/>
  <c r="U100" i="3"/>
  <c r="G32" i="7"/>
  <c r="V85" i="5"/>
  <c r="V42" i="7" s="1"/>
  <c r="G82" i="5"/>
  <c r="H32" i="7"/>
  <c r="H82" i="5"/>
  <c r="AD85" i="5"/>
  <c r="AD42" i="7" s="1"/>
  <c r="O82" i="5"/>
  <c r="O32" i="7"/>
  <c r="P32" i="7"/>
  <c r="P82" i="5"/>
  <c r="AE85" i="5"/>
  <c r="AE42" i="7" s="1"/>
  <c r="Y32" i="7"/>
  <c r="Y82" i="5"/>
  <c r="AK32" i="7"/>
  <c r="AK82" i="5"/>
  <c r="M5" i="4"/>
  <c r="I32" i="7"/>
  <c r="X85" i="5"/>
  <c r="X42" i="7" s="1"/>
  <c r="I82" i="5"/>
  <c r="AF85" i="5"/>
  <c r="AF42" i="7" s="1"/>
  <c r="Q32" i="7"/>
  <c r="Q82" i="5"/>
  <c r="W32" i="7"/>
  <c r="W82" i="5"/>
  <c r="AA32" i="7"/>
  <c r="AA82" i="5"/>
  <c r="W85" i="5"/>
  <c r="W42" i="7" s="1"/>
  <c r="D12" i="7"/>
  <c r="C89" i="7"/>
  <c r="X32" i="7"/>
  <c r="X82" i="5"/>
  <c r="Z32" i="7"/>
  <c r="Z82" i="5"/>
  <c r="V6" i="7"/>
  <c r="Y31" i="7"/>
  <c r="Y100" i="3"/>
  <c r="Z6" i="7"/>
  <c r="AD6" i="7"/>
  <c r="AG31" i="7"/>
  <c r="AG100" i="3"/>
  <c r="AH6" i="7"/>
  <c r="AC32" i="7"/>
  <c r="AC82" i="5"/>
  <c r="AG32" i="7"/>
  <c r="AG82" i="5"/>
  <c r="H5" i="4"/>
  <c r="AF32" i="7"/>
  <c r="AF82" i="5"/>
  <c r="F32" i="7"/>
  <c r="U85" i="5"/>
  <c r="U42" i="7" s="1"/>
  <c r="F82" i="5"/>
  <c r="N32" i="7"/>
  <c r="AC85" i="5"/>
  <c r="AC42" i="7" s="1"/>
  <c r="N82" i="5"/>
  <c r="J32" i="7"/>
  <c r="Y85" i="5"/>
  <c r="Y42" i="7" s="1"/>
  <c r="R32" i="7"/>
  <c r="AG85" i="5"/>
  <c r="AG42" i="7" s="1"/>
  <c r="R82" i="5"/>
  <c r="S32" i="7"/>
  <c r="S82" i="5"/>
  <c r="AH85" i="5"/>
  <c r="AH42" i="7" s="1"/>
  <c r="T32" i="7"/>
  <c r="T82" i="5"/>
  <c r="AI85" i="5"/>
  <c r="AI42" i="7" s="1"/>
  <c r="AJ85" i="5"/>
  <c r="AJ42" i="7" s="1"/>
  <c r="U32" i="7"/>
  <c r="U82" i="5"/>
  <c r="K32" i="7"/>
  <c r="K82" i="5"/>
  <c r="Z85" i="5"/>
  <c r="Z42" i="7" s="1"/>
  <c r="AB32" i="7"/>
  <c r="AB82" i="5"/>
  <c r="AE32" i="7"/>
  <c r="AE82" i="5"/>
  <c r="AH32" i="7"/>
  <c r="AH82" i="5"/>
  <c r="J82" i="5"/>
  <c r="D32" i="7"/>
  <c r="AH83" i="5"/>
  <c r="AH84" i="5" s="1"/>
  <c r="Z83" i="5"/>
  <c r="R83" i="5"/>
  <c r="R84" i="5" s="1"/>
  <c r="J83" i="5"/>
  <c r="J84" i="5" s="1"/>
  <c r="D82" i="5"/>
  <c r="S85" i="5"/>
  <c r="S42" i="7" s="1"/>
  <c r="AG83" i="5"/>
  <c r="Y83" i="5"/>
  <c r="Y84" i="5" s="1"/>
  <c r="Q83" i="5"/>
  <c r="I83" i="5"/>
  <c r="AF83" i="5"/>
  <c r="X83" i="5"/>
  <c r="X84" i="5" s="1"/>
  <c r="P83" i="5"/>
  <c r="H83" i="5"/>
  <c r="AJ83" i="5"/>
  <c r="AB83" i="5"/>
  <c r="T83" i="5"/>
  <c r="T84" i="5" s="1"/>
  <c r="L83" i="5"/>
  <c r="D83" i="5"/>
  <c r="V83" i="5"/>
  <c r="V84" i="5" s="1"/>
  <c r="F83" i="5"/>
  <c r="F84" i="5" s="1"/>
  <c r="AI83" i="5"/>
  <c r="AI84" i="5" s="1"/>
  <c r="S83" i="5"/>
  <c r="S84" i="5" s="1"/>
  <c r="AA83" i="5"/>
  <c r="AA84" i="5" s="1"/>
  <c r="K83" i="5"/>
  <c r="W83" i="5"/>
  <c r="G83" i="5"/>
  <c r="U83" i="5"/>
  <c r="U84" i="5" s="1"/>
  <c r="O83" i="5"/>
  <c r="O84" i="5" s="1"/>
  <c r="N83" i="5"/>
  <c r="AD83" i="5"/>
  <c r="AK83" i="5"/>
  <c r="AK84" i="5" s="1"/>
  <c r="E83" i="5"/>
  <c r="L32" i="7"/>
  <c r="L82" i="5"/>
  <c r="AA85" i="5"/>
  <c r="AA42" i="7" s="1"/>
  <c r="AJ32" i="7"/>
  <c r="AJ82" i="5"/>
  <c r="M83" i="5"/>
  <c r="D69" i="5"/>
  <c r="D71" i="5"/>
  <c r="J38" i="7" l="1"/>
  <c r="J87" i="5"/>
  <c r="J44" i="7" s="1"/>
  <c r="D37" i="7"/>
  <c r="D105" i="3"/>
  <c r="D43" i="7" s="1"/>
  <c r="D104" i="3"/>
  <c r="O37" i="7"/>
  <c r="O105" i="3"/>
  <c r="O43" i="7" s="1"/>
  <c r="Y38" i="7"/>
  <c r="Y87" i="5"/>
  <c r="Y44" i="7" s="1"/>
  <c r="S38" i="7"/>
  <c r="S87" i="5"/>
  <c r="S44" i="7" s="1"/>
  <c r="F37" i="7"/>
  <c r="F105" i="3"/>
  <c r="F43" i="7" s="1"/>
  <c r="V38" i="7"/>
  <c r="V87" i="5"/>
  <c r="V44" i="7" s="1"/>
  <c r="M37" i="7"/>
  <c r="M105" i="3"/>
  <c r="M43" i="7" s="1"/>
  <c r="AH37" i="7"/>
  <c r="AH105" i="3"/>
  <c r="AH43" i="7" s="1"/>
  <c r="AH38" i="7"/>
  <c r="AH87" i="5"/>
  <c r="AH44" i="7" s="1"/>
  <c r="AA38" i="7"/>
  <c r="AA87" i="5"/>
  <c r="AA44" i="7" s="1"/>
  <c r="AI38" i="7"/>
  <c r="AI87" i="5"/>
  <c r="AI44" i="7" s="1"/>
  <c r="AG37" i="7"/>
  <c r="AG105" i="3"/>
  <c r="AG43" i="7" s="1"/>
  <c r="N37" i="7"/>
  <c r="N105" i="3"/>
  <c r="N43" i="7" s="1"/>
  <c r="U38" i="7"/>
  <c r="U87" i="5"/>
  <c r="U44" i="7" s="1"/>
  <c r="X38" i="7"/>
  <c r="X87" i="5"/>
  <c r="X44" i="7" s="1"/>
  <c r="R38" i="7"/>
  <c r="R87" i="5"/>
  <c r="R44" i="7" s="1"/>
  <c r="G37" i="7"/>
  <c r="G105" i="3"/>
  <c r="G43" i="7" s="1"/>
  <c r="T37" i="7"/>
  <c r="T105" i="3"/>
  <c r="T43" i="7" s="1"/>
  <c r="T38" i="7"/>
  <c r="T87" i="5"/>
  <c r="T44" i="7" s="1"/>
  <c r="AK38" i="7"/>
  <c r="AK87" i="5"/>
  <c r="AK44" i="7" s="1"/>
  <c r="Y37" i="7"/>
  <c r="Y105" i="3"/>
  <c r="Y43" i="7" s="1"/>
  <c r="O38" i="7"/>
  <c r="O87" i="5"/>
  <c r="O44" i="7" s="1"/>
  <c r="F38" i="7"/>
  <c r="F87" i="5"/>
  <c r="F44" i="7" s="1"/>
  <c r="E36" i="7"/>
  <c r="E34" i="7"/>
  <c r="K34" i="7"/>
  <c r="Q34" i="7"/>
  <c r="Z5" i="4"/>
  <c r="Q5" i="4"/>
  <c r="O5" i="4"/>
  <c r="U33" i="7"/>
  <c r="G34" i="7"/>
  <c r="G36" i="7"/>
  <c r="D36" i="7"/>
  <c r="D34" i="7"/>
  <c r="AF34" i="7"/>
  <c r="AJ33" i="7"/>
  <c r="I33" i="7"/>
  <c r="AC33" i="7"/>
  <c r="W33" i="7"/>
  <c r="W102" i="3"/>
  <c r="E37" i="7"/>
  <c r="E105" i="3"/>
  <c r="E43" i="7" s="1"/>
  <c r="AI37" i="7"/>
  <c r="AI105" i="3"/>
  <c r="AI43" i="7" s="1"/>
  <c r="W34" i="7"/>
  <c r="L34" i="7"/>
  <c r="I34" i="7"/>
  <c r="Z34" i="7"/>
  <c r="L33" i="7"/>
  <c r="Q33" i="7"/>
  <c r="AK33" i="7"/>
  <c r="AK102" i="3"/>
  <c r="AE33" i="7"/>
  <c r="Q102" i="3"/>
  <c r="AJ102" i="3"/>
  <c r="D84" i="5"/>
  <c r="D23" i="7"/>
  <c r="D108" i="3"/>
  <c r="H33" i="7"/>
  <c r="H102" i="3"/>
  <c r="D7" i="4"/>
  <c r="M6" i="4"/>
  <c r="E6" i="4"/>
  <c r="M6" i="2"/>
  <c r="D7" i="2"/>
  <c r="E6" i="2"/>
  <c r="AC38" i="7"/>
  <c r="AC87" i="5"/>
  <c r="AC44" i="7" s="1"/>
  <c r="W84" i="5"/>
  <c r="M34" i="7"/>
  <c r="P33" i="7"/>
  <c r="AG33" i="7"/>
  <c r="N33" i="7"/>
  <c r="I37" i="7"/>
  <c r="I105" i="3"/>
  <c r="I43" i="7" s="1"/>
  <c r="AC37" i="7"/>
  <c r="AC105" i="3"/>
  <c r="AC43" i="7" s="1"/>
  <c r="V37" i="7"/>
  <c r="V105" i="3"/>
  <c r="V43" i="7" s="1"/>
  <c r="J37" i="7"/>
  <c r="J105" i="3"/>
  <c r="J43" i="7" s="1"/>
  <c r="AJ38" i="7"/>
  <c r="AJ87" i="5"/>
  <c r="AJ44" i="7" s="1"/>
  <c r="AE38" i="7"/>
  <c r="AE87" i="5"/>
  <c r="AE44" i="7" s="1"/>
  <c r="AD34" i="7"/>
  <c r="AJ34" i="7"/>
  <c r="AG34" i="7"/>
  <c r="S33" i="7"/>
  <c r="AF33" i="7"/>
  <c r="V33" i="7"/>
  <c r="AD37" i="7"/>
  <c r="AD105" i="3"/>
  <c r="AD43" i="7" s="1"/>
  <c r="R37" i="7"/>
  <c r="R105" i="3"/>
  <c r="R43" i="7" s="1"/>
  <c r="Z38" i="7"/>
  <c r="Z87" i="5"/>
  <c r="Z44" i="7" s="1"/>
  <c r="H38" i="7"/>
  <c r="H87" i="5"/>
  <c r="H44" i="7" s="1"/>
  <c r="Q84" i="5"/>
  <c r="AA33" i="7"/>
  <c r="T34" i="7"/>
  <c r="X33" i="7"/>
  <c r="X102" i="3"/>
  <c r="J33" i="7"/>
  <c r="N34" i="7"/>
  <c r="AI34" i="7"/>
  <c r="H34" i="7"/>
  <c r="H36" i="7"/>
  <c r="D83" i="7"/>
  <c r="D85" i="7" s="1"/>
  <c r="D90" i="3"/>
  <c r="AI33" i="7"/>
  <c r="E35" i="7"/>
  <c r="E33" i="7"/>
  <c r="AD33" i="7"/>
  <c r="Z37" i="7"/>
  <c r="Z105" i="3"/>
  <c r="Z43" i="7" s="1"/>
  <c r="K37" i="7"/>
  <c r="K105" i="3"/>
  <c r="K43" i="7" s="1"/>
  <c r="N84" i="5"/>
  <c r="Z33" i="7"/>
  <c r="G12" i="7"/>
  <c r="H8" i="4"/>
  <c r="F9" i="4"/>
  <c r="R5" i="2"/>
  <c r="E11" i="7"/>
  <c r="F7" i="2"/>
  <c r="H6" i="2"/>
  <c r="I38" i="7"/>
  <c r="I87" i="5"/>
  <c r="I44" i="7" s="1"/>
  <c r="S34" i="7"/>
  <c r="O34" i="7"/>
  <c r="F34" i="7"/>
  <c r="F36" i="7"/>
  <c r="P34" i="7"/>
  <c r="D35" i="7"/>
  <c r="D33" i="7"/>
  <c r="R33" i="7"/>
  <c r="M33" i="7"/>
  <c r="G33" i="7"/>
  <c r="P102" i="3"/>
  <c r="S102" i="3"/>
  <c r="L102" i="3"/>
  <c r="K84" i="5"/>
  <c r="P84" i="5"/>
  <c r="AG84" i="5"/>
  <c r="AC34" i="7"/>
  <c r="D61" i="7"/>
  <c r="D26" i="7"/>
  <c r="D17" i="7"/>
  <c r="D6" i="3"/>
  <c r="AH5" i="2"/>
  <c r="AI20" i="2"/>
  <c r="S64" i="3" s="1"/>
  <c r="AD20" i="2"/>
  <c r="AB5" i="2"/>
  <c r="AE5" i="2"/>
  <c r="D80" i="7"/>
  <c r="D81" i="7"/>
  <c r="D82" i="7"/>
  <c r="D84" i="7" s="1"/>
  <c r="D86" i="3"/>
  <c r="D89" i="3" s="1"/>
  <c r="J5" i="2"/>
  <c r="K5" i="2" s="1"/>
  <c r="D87" i="3"/>
  <c r="AB33" i="7"/>
  <c r="Y33" i="7"/>
  <c r="F33" i="7"/>
  <c r="U34" i="7"/>
  <c r="V34" i="7"/>
  <c r="X34" i="7"/>
  <c r="J34" i="7"/>
  <c r="AF102" i="3"/>
  <c r="AE102" i="3"/>
  <c r="AA102" i="3"/>
  <c r="L84" i="5"/>
  <c r="AF84" i="5"/>
  <c r="E84" i="5"/>
  <c r="AD84" i="5"/>
  <c r="AH34" i="7"/>
  <c r="AK34" i="7"/>
  <c r="AA34" i="7"/>
  <c r="AB34" i="7"/>
  <c r="Y34" i="7"/>
  <c r="T33" i="7"/>
  <c r="AH33" i="7"/>
  <c r="O33" i="7"/>
  <c r="R34" i="7"/>
  <c r="AB102" i="3"/>
  <c r="AB84" i="5"/>
  <c r="M84" i="5"/>
  <c r="G84" i="5"/>
  <c r="AE34" i="7"/>
  <c r="U102" i="3"/>
  <c r="K33" i="7"/>
  <c r="L37" i="7" l="1"/>
  <c r="L105" i="3"/>
  <c r="L43" i="7" s="1"/>
  <c r="D5" i="3"/>
  <c r="S5" i="2"/>
  <c r="G38" i="7"/>
  <c r="G87" i="5"/>
  <c r="G44" i="7" s="1"/>
  <c r="E38" i="7"/>
  <c r="E87" i="5"/>
  <c r="E44" i="7" s="1"/>
  <c r="D79" i="7"/>
  <c r="E81" i="7"/>
  <c r="S37" i="7"/>
  <c r="S105" i="3"/>
  <c r="S43" i="7" s="1"/>
  <c r="H12" i="7"/>
  <c r="F10" i="4"/>
  <c r="H9" i="4"/>
  <c r="Q38" i="7"/>
  <c r="Q87" i="5"/>
  <c r="Q44" i="7" s="1"/>
  <c r="Z6" i="2"/>
  <c r="Q6" i="2"/>
  <c r="O6" i="2"/>
  <c r="AK37" i="7"/>
  <c r="AK105" i="3"/>
  <c r="AK43" i="7" s="1"/>
  <c r="M38" i="7"/>
  <c r="M87" i="5"/>
  <c r="M44" i="7" s="1"/>
  <c r="F11" i="7"/>
  <c r="H7" i="2"/>
  <c r="F8" i="2"/>
  <c r="AF38" i="7"/>
  <c r="AF87" i="5"/>
  <c r="AF44" i="7" s="1"/>
  <c r="AB38" i="7"/>
  <c r="AB87" i="5"/>
  <c r="AB44" i="7" s="1"/>
  <c r="L38" i="7"/>
  <c r="L87" i="5"/>
  <c r="L44" i="7" s="1"/>
  <c r="Z6" i="4"/>
  <c r="Q6" i="4"/>
  <c r="O6" i="4"/>
  <c r="D38" i="7"/>
  <c r="D86" i="5"/>
  <c r="D87" i="5"/>
  <c r="D44" i="7" s="1"/>
  <c r="W37" i="7"/>
  <c r="W105" i="3"/>
  <c r="W43" i="7" s="1"/>
  <c r="E80" i="7"/>
  <c r="D78" i="7"/>
  <c r="D66" i="7"/>
  <c r="D21" i="7"/>
  <c r="D19" i="7"/>
  <c r="D106" i="3"/>
  <c r="D28" i="7" s="1"/>
  <c r="AB37" i="7"/>
  <c r="AB105" i="3"/>
  <c r="AB43" i="7" s="1"/>
  <c r="AA37" i="7"/>
  <c r="AA105" i="3"/>
  <c r="AA43" i="7" s="1"/>
  <c r="D107" i="3"/>
  <c r="D45" i="7" s="1"/>
  <c r="D39" i="7"/>
  <c r="E104" i="3"/>
  <c r="P37" i="7"/>
  <c r="P105" i="3"/>
  <c r="P43" i="7" s="1"/>
  <c r="E87" i="3"/>
  <c r="D93" i="3"/>
  <c r="W38" i="7"/>
  <c r="W87" i="5"/>
  <c r="W44" i="7" s="1"/>
  <c r="E7" i="4"/>
  <c r="D8" i="4"/>
  <c r="M7" i="4"/>
  <c r="AJ37" i="7"/>
  <c r="AJ105" i="3"/>
  <c r="AJ43" i="7" s="1"/>
  <c r="U37" i="7"/>
  <c r="U105" i="3"/>
  <c r="U43" i="7" s="1"/>
  <c r="AE37" i="7"/>
  <c r="AE105" i="3"/>
  <c r="AE43" i="7" s="1"/>
  <c r="F35" i="7"/>
  <c r="B98" i="7"/>
  <c r="D7" i="7"/>
  <c r="D9" i="7"/>
  <c r="D48" i="7"/>
  <c r="D68" i="7"/>
  <c r="AF5" i="2"/>
  <c r="E60" i="3"/>
  <c r="E57" i="3"/>
  <c r="E58" i="3"/>
  <c r="D29" i="3"/>
  <c r="D53" i="3" s="1"/>
  <c r="E59" i="3"/>
  <c r="AG38" i="7"/>
  <c r="AG87" i="5"/>
  <c r="AG44" i="7" s="1"/>
  <c r="E82" i="7"/>
  <c r="E84" i="7" s="1"/>
  <c r="E89" i="3"/>
  <c r="H37" i="7"/>
  <c r="H105" i="3"/>
  <c r="H43" i="7" s="1"/>
  <c r="Q37" i="7"/>
  <c r="Q105" i="3"/>
  <c r="Q43" i="7" s="1"/>
  <c r="R5" i="4"/>
  <c r="D62" i="7"/>
  <c r="D27" i="7"/>
  <c r="D18" i="7"/>
  <c r="D6" i="5"/>
  <c r="AH6" i="4"/>
  <c r="AH5" i="4"/>
  <c r="AB6" i="4"/>
  <c r="AD20" i="4"/>
  <c r="AI20" i="4"/>
  <c r="S64" i="5" s="1"/>
  <c r="AB5" i="4"/>
  <c r="AC5" i="4"/>
  <c r="AE5" i="4" s="1"/>
  <c r="AC6" i="4"/>
  <c r="AF37" i="7"/>
  <c r="AF105" i="3"/>
  <c r="AF43" i="7" s="1"/>
  <c r="K38" i="7"/>
  <c r="K87" i="5"/>
  <c r="K44" i="7" s="1"/>
  <c r="N38" i="7"/>
  <c r="N87" i="5"/>
  <c r="N44" i="7" s="1"/>
  <c r="X37" i="7"/>
  <c r="X105" i="3"/>
  <c r="X43" i="7" s="1"/>
  <c r="E86" i="3"/>
  <c r="D92" i="3"/>
  <c r="P38" i="7"/>
  <c r="P87" i="5"/>
  <c r="P44" i="7" s="1"/>
  <c r="AD38" i="7"/>
  <c r="AD87" i="5"/>
  <c r="AD44" i="7" s="1"/>
  <c r="E7" i="2"/>
  <c r="D8" i="2"/>
  <c r="M7" i="2"/>
  <c r="D69" i="7" l="1"/>
  <c r="D49" i="7"/>
  <c r="AF5" i="4"/>
  <c r="J5" i="4"/>
  <c r="K5" i="4" s="1"/>
  <c r="E39" i="7"/>
  <c r="F104" i="3"/>
  <c r="Q7" i="2"/>
  <c r="R7" i="2" s="1"/>
  <c r="F5" i="3" s="1"/>
  <c r="O7" i="2"/>
  <c r="Z7" i="2"/>
  <c r="E92" i="3"/>
  <c r="F86" i="3"/>
  <c r="D9" i="2"/>
  <c r="E8" i="2"/>
  <c r="M8" i="2"/>
  <c r="E70" i="3"/>
  <c r="E77" i="3"/>
  <c r="D40" i="7"/>
  <c r="E86" i="5"/>
  <c r="I12" i="7"/>
  <c r="H10" i="4"/>
  <c r="F11" i="4"/>
  <c r="I36" i="7"/>
  <c r="Q7" i="4"/>
  <c r="O7" i="4"/>
  <c r="Z7" i="4"/>
  <c r="F87" i="3"/>
  <c r="E93" i="3"/>
  <c r="E90" i="3"/>
  <c r="E71" i="3"/>
  <c r="E78" i="3"/>
  <c r="D9" i="4"/>
  <c r="E8" i="4"/>
  <c r="M8" i="4"/>
  <c r="R6" i="4"/>
  <c r="E5" i="5" s="1"/>
  <c r="G11" i="7"/>
  <c r="H8" i="2"/>
  <c r="F9" i="2"/>
  <c r="G35" i="7"/>
  <c r="R6" i="2"/>
  <c r="E5" i="3" s="1"/>
  <c r="D24" i="3"/>
  <c r="D20" i="3"/>
  <c r="D16" i="3"/>
  <c r="D12" i="3"/>
  <c r="D23" i="3"/>
  <c r="D19" i="3"/>
  <c r="D15" i="3"/>
  <c r="D11" i="3"/>
  <c r="D25" i="3"/>
  <c r="D21" i="3"/>
  <c r="D17" i="3"/>
  <c r="D13" i="3"/>
  <c r="D22" i="3"/>
  <c r="D14" i="3"/>
  <c r="D10" i="3"/>
  <c r="D18" i="3"/>
  <c r="D67" i="7"/>
  <c r="D20" i="7"/>
  <c r="D88" i="5"/>
  <c r="D29" i="7" s="1"/>
  <c r="D22" i="7"/>
  <c r="D89" i="5"/>
  <c r="D46" i="7" s="1"/>
  <c r="F60" i="5"/>
  <c r="F71" i="5" s="1"/>
  <c r="F59" i="5"/>
  <c r="F70" i="5" s="1"/>
  <c r="F57" i="5"/>
  <c r="F68" i="5" s="1"/>
  <c r="F58" i="5"/>
  <c r="F69" i="5" s="1"/>
  <c r="E29" i="5"/>
  <c r="E53" i="5" s="1"/>
  <c r="E59" i="5"/>
  <c r="D29" i="5"/>
  <c r="D53" i="5" s="1"/>
  <c r="E58" i="5"/>
  <c r="E57" i="5"/>
  <c r="E60" i="5"/>
  <c r="D50" i="7"/>
  <c r="AG5" i="2"/>
  <c r="E78" i="7"/>
  <c r="F80" i="7"/>
  <c r="E62" i="7"/>
  <c r="E27" i="7"/>
  <c r="E18" i="7"/>
  <c r="AD21" i="4"/>
  <c r="E6" i="5"/>
  <c r="AI21" i="4"/>
  <c r="T64" i="5" s="1"/>
  <c r="AE6" i="4"/>
  <c r="F82" i="7"/>
  <c r="F84" i="7" s="1"/>
  <c r="F89" i="3"/>
  <c r="E61" i="7"/>
  <c r="E26" i="7"/>
  <c r="E17" i="7"/>
  <c r="AD21" i="2"/>
  <c r="AE6" i="2"/>
  <c r="E6" i="3"/>
  <c r="AI21" i="2"/>
  <c r="T64" i="3" s="1"/>
  <c r="AH6" i="2"/>
  <c r="AC7" i="2"/>
  <c r="AC6" i="2"/>
  <c r="AH7" i="2"/>
  <c r="AB7" i="2"/>
  <c r="AB6" i="2"/>
  <c r="E79" i="7"/>
  <c r="F81" i="7"/>
  <c r="E83" i="7"/>
  <c r="E85" i="7" s="1"/>
  <c r="E69" i="3"/>
  <c r="E76" i="3"/>
  <c r="D24" i="7"/>
  <c r="D90" i="5"/>
  <c r="E68" i="3"/>
  <c r="E75" i="3"/>
  <c r="E67" i="7"/>
  <c r="E20" i="7"/>
  <c r="E88" i="5"/>
  <c r="E29" i="7" s="1"/>
  <c r="E22" i="7"/>
  <c r="E89" i="5"/>
  <c r="E46" i="7" s="1"/>
  <c r="E24" i="7"/>
  <c r="E90" i="5"/>
  <c r="D5" i="5"/>
  <c r="S5" i="4"/>
  <c r="S6" i="4" s="1"/>
  <c r="E70" i="5" l="1"/>
  <c r="E77" i="5"/>
  <c r="F77" i="5" s="1"/>
  <c r="D45" i="3"/>
  <c r="E22" i="3"/>
  <c r="D46" i="3"/>
  <c r="E23" i="3"/>
  <c r="E48" i="7"/>
  <c r="E68" i="7"/>
  <c r="J6" i="2"/>
  <c r="K6" i="2" s="1"/>
  <c r="D55" i="7"/>
  <c r="D39" i="3"/>
  <c r="E16" i="3"/>
  <c r="G87" i="3"/>
  <c r="F93" i="3"/>
  <c r="F90" i="3"/>
  <c r="O8" i="2"/>
  <c r="Z8" i="2"/>
  <c r="Q8" i="2"/>
  <c r="F39" i="7"/>
  <c r="G104" i="3"/>
  <c r="E69" i="7"/>
  <c r="E49" i="7"/>
  <c r="J6" i="4"/>
  <c r="K6" i="4" s="1"/>
  <c r="AF6" i="2"/>
  <c r="D40" i="3"/>
  <c r="E17" i="3"/>
  <c r="D44" i="3"/>
  <c r="E21" i="3"/>
  <c r="D43" i="3"/>
  <c r="E20" i="3"/>
  <c r="O8" i="4"/>
  <c r="Z8" i="4"/>
  <c r="Q8" i="4"/>
  <c r="R8" i="4" s="1"/>
  <c r="G5" i="5" s="1"/>
  <c r="S6" i="2"/>
  <c r="S7" i="2" s="1"/>
  <c r="E40" i="7"/>
  <c r="F86" i="5"/>
  <c r="D36" i="3"/>
  <c r="E13" i="3"/>
  <c r="D35" i="3"/>
  <c r="E12" i="3"/>
  <c r="E78" i="5"/>
  <c r="F78" i="5" s="1"/>
  <c r="E71" i="5"/>
  <c r="D48" i="3"/>
  <c r="E25" i="3"/>
  <c r="D47" i="3"/>
  <c r="E24" i="3"/>
  <c r="D10" i="2"/>
  <c r="E9" i="2"/>
  <c r="M9" i="2"/>
  <c r="C98" i="7"/>
  <c r="D8" i="7"/>
  <c r="D10" i="7"/>
  <c r="F79" i="7"/>
  <c r="G81" i="7"/>
  <c r="F83" i="7"/>
  <c r="F85" i="7" s="1"/>
  <c r="F59" i="3"/>
  <c r="F70" i="3" s="1"/>
  <c r="F58" i="3"/>
  <c r="F69" i="3" s="1"/>
  <c r="F60" i="3"/>
  <c r="F71" i="3" s="1"/>
  <c r="F57" i="3"/>
  <c r="F68" i="3" s="1"/>
  <c r="E29" i="3"/>
  <c r="E53" i="3" s="1"/>
  <c r="G86" i="3"/>
  <c r="F92" i="3"/>
  <c r="D51" i="7"/>
  <c r="AF6" i="4"/>
  <c r="AG5" i="4"/>
  <c r="J12" i="7"/>
  <c r="F12" i="4"/>
  <c r="H11" i="4"/>
  <c r="J36" i="7"/>
  <c r="F62" i="7"/>
  <c r="F27" i="7"/>
  <c r="F18" i="7"/>
  <c r="AD22" i="4"/>
  <c r="F6" i="5"/>
  <c r="AE7" i="4"/>
  <c r="AI22" i="4"/>
  <c r="U64" i="5" s="1"/>
  <c r="AB8" i="4"/>
  <c r="AH7" i="4"/>
  <c r="AC7" i="4"/>
  <c r="AB7" i="4"/>
  <c r="F76" i="3"/>
  <c r="G76" i="3" s="1"/>
  <c r="E66" i="7"/>
  <c r="E19" i="7"/>
  <c r="E21" i="7"/>
  <c r="E106" i="3"/>
  <c r="E28" i="7" s="1"/>
  <c r="E107" i="3"/>
  <c r="E45" i="7" s="1"/>
  <c r="G58" i="3"/>
  <c r="G69" i="3" s="1"/>
  <c r="G60" i="3"/>
  <c r="G71" i="3" s="1"/>
  <c r="F29" i="3"/>
  <c r="F53" i="3" s="1"/>
  <c r="G57" i="3"/>
  <c r="G68" i="3" s="1"/>
  <c r="G59" i="3"/>
  <c r="G70" i="3" s="1"/>
  <c r="E75" i="5"/>
  <c r="F75" i="5" s="1"/>
  <c r="E68" i="5"/>
  <c r="D41" i="3"/>
  <c r="E18" i="3"/>
  <c r="D34" i="3"/>
  <c r="E11" i="3"/>
  <c r="D10" i="4"/>
  <c r="E9" i="4"/>
  <c r="M9" i="4"/>
  <c r="F23" i="7"/>
  <c r="F108" i="3"/>
  <c r="E69" i="5"/>
  <c r="E76" i="5"/>
  <c r="F76" i="5" s="1"/>
  <c r="D33" i="3"/>
  <c r="E10" i="3"/>
  <c r="D38" i="3"/>
  <c r="E15" i="3"/>
  <c r="F78" i="3"/>
  <c r="G78" i="3" s="1"/>
  <c r="R7" i="4"/>
  <c r="F5" i="5" s="1"/>
  <c r="G89" i="3"/>
  <c r="D25" i="5"/>
  <c r="D21" i="5"/>
  <c r="D24" i="5"/>
  <c r="D20" i="5"/>
  <c r="D22" i="5"/>
  <c r="D17" i="5"/>
  <c r="D13" i="5"/>
  <c r="D19" i="5"/>
  <c r="D16" i="5"/>
  <c r="D12" i="5"/>
  <c r="D18" i="5"/>
  <c r="D14" i="5"/>
  <c r="D10" i="5"/>
  <c r="D11" i="5"/>
  <c r="D23" i="5"/>
  <c r="D15" i="5"/>
  <c r="F66" i="7"/>
  <c r="F19" i="7"/>
  <c r="F21" i="7"/>
  <c r="F106" i="3"/>
  <c r="F28" i="7" s="1"/>
  <c r="F107" i="3"/>
  <c r="F45" i="7" s="1"/>
  <c r="E23" i="7"/>
  <c r="E108" i="3"/>
  <c r="F78" i="7"/>
  <c r="G80" i="7"/>
  <c r="D37" i="3"/>
  <c r="E14" i="3"/>
  <c r="D42" i="3"/>
  <c r="E19" i="3"/>
  <c r="H11" i="7"/>
  <c r="F10" i="2"/>
  <c r="H9" i="2"/>
  <c r="H35" i="7"/>
  <c r="F26" i="7"/>
  <c r="F61" i="7"/>
  <c r="F17" i="7"/>
  <c r="AI22" i="2"/>
  <c r="U64" i="3" s="1"/>
  <c r="AD22" i="2"/>
  <c r="AE7" i="2"/>
  <c r="F6" i="3"/>
  <c r="F77" i="3"/>
  <c r="G77" i="3" s="1"/>
  <c r="D48" i="5" l="1"/>
  <c r="E25" i="5"/>
  <c r="E33" i="3"/>
  <c r="F10" i="3"/>
  <c r="F67" i="7"/>
  <c r="F20" i="7"/>
  <c r="F88" i="5"/>
  <c r="F29" i="7" s="1"/>
  <c r="F22" i="7"/>
  <c r="F89" i="5"/>
  <c r="F46" i="7" s="1"/>
  <c r="O9" i="2"/>
  <c r="Q9" i="2"/>
  <c r="R9" i="2" s="1"/>
  <c r="H5" i="3" s="1"/>
  <c r="Z9" i="2"/>
  <c r="D42" i="5"/>
  <c r="E19" i="5"/>
  <c r="F11" i="3"/>
  <c r="E34" i="3"/>
  <c r="D34" i="5"/>
  <c r="E11" i="5"/>
  <c r="D43" i="5"/>
  <c r="E20" i="5"/>
  <c r="D35" i="5"/>
  <c r="E12" i="5"/>
  <c r="D44" i="5"/>
  <c r="E21" i="5"/>
  <c r="F24" i="7"/>
  <c r="F90" i="5"/>
  <c r="G59" i="5"/>
  <c r="G70" i="5" s="1"/>
  <c r="G57" i="5"/>
  <c r="G68" i="5" s="1"/>
  <c r="G58" i="5"/>
  <c r="G69" i="5" s="1"/>
  <c r="F29" i="5"/>
  <c r="F53" i="5" s="1"/>
  <c r="G60" i="5"/>
  <c r="G71" i="5" s="1"/>
  <c r="D70" i="7"/>
  <c r="D57" i="7"/>
  <c r="D59" i="7"/>
  <c r="E40" i="3"/>
  <c r="F17" i="3"/>
  <c r="R8" i="2"/>
  <c r="G5" i="3" s="1"/>
  <c r="F75" i="3"/>
  <c r="G75" i="3" s="1"/>
  <c r="G61" i="7"/>
  <c r="G26" i="7"/>
  <c r="G17" i="7"/>
  <c r="AI23" i="2"/>
  <c r="V64" i="3" s="1"/>
  <c r="G6" i="3"/>
  <c r="AD23" i="2"/>
  <c r="AB8" i="2"/>
  <c r="AH8" i="2"/>
  <c r="AC8" i="2"/>
  <c r="AB9" i="2"/>
  <c r="F23" i="3"/>
  <c r="E46" i="3"/>
  <c r="G78" i="7"/>
  <c r="H80" i="7"/>
  <c r="D56" i="7"/>
  <c r="D39" i="5"/>
  <c r="E16" i="5"/>
  <c r="D11" i="4"/>
  <c r="E10" i="4"/>
  <c r="M10" i="4"/>
  <c r="F12" i="3"/>
  <c r="E35" i="3"/>
  <c r="F48" i="7"/>
  <c r="F68" i="7"/>
  <c r="J7" i="2"/>
  <c r="K7" i="2" s="1"/>
  <c r="I11" i="7"/>
  <c r="H10" i="2"/>
  <c r="F11" i="2"/>
  <c r="I35" i="7"/>
  <c r="D46" i="5"/>
  <c r="E23" i="5"/>
  <c r="D36" i="5"/>
  <c r="E13" i="5"/>
  <c r="G76" i="5"/>
  <c r="D11" i="2"/>
  <c r="M10" i="2"/>
  <c r="E10" i="2"/>
  <c r="G62" i="7"/>
  <c r="G27" i="7"/>
  <c r="G18" i="7"/>
  <c r="AD23" i="4"/>
  <c r="G6" i="5"/>
  <c r="AI23" i="4"/>
  <c r="V64" i="5" s="1"/>
  <c r="E50" i="7"/>
  <c r="AF7" i="2"/>
  <c r="AG6" i="2"/>
  <c r="E7" i="7"/>
  <c r="E9" i="7"/>
  <c r="H81" i="7"/>
  <c r="G79" i="7"/>
  <c r="G83" i="7"/>
  <c r="G85" i="7" s="1"/>
  <c r="F24" i="3"/>
  <c r="E47" i="3"/>
  <c r="E36" i="3"/>
  <c r="F13" i="3"/>
  <c r="E8" i="7"/>
  <c r="E10" i="7"/>
  <c r="E45" i="3"/>
  <c r="F22" i="3"/>
  <c r="D40" i="5"/>
  <c r="E17" i="5"/>
  <c r="G82" i="7"/>
  <c r="G84" i="7" s="1"/>
  <c r="E41" i="3"/>
  <c r="F18" i="3"/>
  <c r="F19" i="3"/>
  <c r="E42" i="3"/>
  <c r="D33" i="5"/>
  <c r="E10" i="5"/>
  <c r="E22" i="5"/>
  <c r="D45" i="5"/>
  <c r="AC8" i="4"/>
  <c r="AE8" i="4" s="1"/>
  <c r="AH8" i="4"/>
  <c r="H86" i="3"/>
  <c r="H89" i="3" s="1"/>
  <c r="G92" i="3"/>
  <c r="F20" i="3"/>
  <c r="E43" i="3"/>
  <c r="E14" i="5"/>
  <c r="D37" i="5"/>
  <c r="E48" i="3"/>
  <c r="F25" i="3"/>
  <c r="S7" i="4"/>
  <c r="S8" i="4" s="1"/>
  <c r="G93" i="3"/>
  <c r="H87" i="3"/>
  <c r="G90" i="3"/>
  <c r="G77" i="5"/>
  <c r="H82" i="7"/>
  <c r="H84" i="7" s="1"/>
  <c r="D38" i="5"/>
  <c r="E15" i="5"/>
  <c r="E51" i="7"/>
  <c r="AF7" i="4"/>
  <c r="AG6" i="4"/>
  <c r="E37" i="3"/>
  <c r="F14" i="3"/>
  <c r="D41" i="5"/>
  <c r="E18" i="5"/>
  <c r="D47" i="5"/>
  <c r="E24" i="5"/>
  <c r="F15" i="3"/>
  <c r="E38" i="3"/>
  <c r="O9" i="4"/>
  <c r="Q9" i="4"/>
  <c r="Z9" i="4"/>
  <c r="G75" i="5"/>
  <c r="G67" i="7"/>
  <c r="G88" i="5"/>
  <c r="G29" i="7" s="1"/>
  <c r="G20" i="7"/>
  <c r="G22" i="7"/>
  <c r="G89" i="5"/>
  <c r="G46" i="7" s="1"/>
  <c r="F69" i="7"/>
  <c r="F49" i="7"/>
  <c r="J7" i="4"/>
  <c r="K7" i="4" s="1"/>
  <c r="K12" i="7"/>
  <c r="H12" i="4"/>
  <c r="F13" i="4"/>
  <c r="K36" i="7"/>
  <c r="F40" i="7"/>
  <c r="G86" i="5"/>
  <c r="E44" i="3"/>
  <c r="F21" i="3"/>
  <c r="G39" i="7"/>
  <c r="H104" i="3"/>
  <c r="E55" i="7"/>
  <c r="F16" i="3"/>
  <c r="E39" i="3"/>
  <c r="G69" i="7" l="1"/>
  <c r="G49" i="7"/>
  <c r="J8" i="4"/>
  <c r="K8" i="4" s="1"/>
  <c r="F35" i="3"/>
  <c r="G12" i="3"/>
  <c r="L12" i="7"/>
  <c r="H13" i="4"/>
  <c r="F14" i="4"/>
  <c r="L36" i="7"/>
  <c r="Z10" i="2"/>
  <c r="O10" i="2"/>
  <c r="Q10" i="2"/>
  <c r="R10" i="2" s="1"/>
  <c r="I5" i="3" s="1"/>
  <c r="Q10" i="4"/>
  <c r="R10" i="4" s="1"/>
  <c r="I5" i="5" s="1"/>
  <c r="O10" i="4"/>
  <c r="Z10" i="4"/>
  <c r="H62" i="7"/>
  <c r="H18" i="7"/>
  <c r="H27" i="7"/>
  <c r="H6" i="5"/>
  <c r="AI24" i="4"/>
  <c r="W64" i="5" s="1"/>
  <c r="AD24" i="4"/>
  <c r="AB9" i="4"/>
  <c r="AC9" i="4"/>
  <c r="AE9" i="4" s="1"/>
  <c r="AH9" i="4"/>
  <c r="AB10" i="4"/>
  <c r="F48" i="3"/>
  <c r="G25" i="3"/>
  <c r="F43" i="3"/>
  <c r="G20" i="3"/>
  <c r="D71" i="7"/>
  <c r="D60" i="7"/>
  <c r="D58" i="7"/>
  <c r="G78" i="5"/>
  <c r="F20" i="5"/>
  <c r="E43" i="5"/>
  <c r="H61" i="7"/>
  <c r="H17" i="7"/>
  <c r="H26" i="7"/>
  <c r="H6" i="3"/>
  <c r="AD24" i="2"/>
  <c r="AI24" i="2"/>
  <c r="W64" i="3" s="1"/>
  <c r="H86" i="5"/>
  <c r="G40" i="7"/>
  <c r="R9" i="4"/>
  <c r="H5" i="5" s="1"/>
  <c r="F37" i="3"/>
  <c r="G14" i="3"/>
  <c r="E45" i="5"/>
  <c r="F22" i="5"/>
  <c r="E40" i="5"/>
  <c r="F17" i="5"/>
  <c r="E46" i="5"/>
  <c r="F23" i="5"/>
  <c r="H66" i="7"/>
  <c r="H19" i="7"/>
  <c r="H21" i="7"/>
  <c r="H106" i="3"/>
  <c r="H28" i="7" s="1"/>
  <c r="H107" i="3"/>
  <c r="H45" i="7" s="1"/>
  <c r="H60" i="3"/>
  <c r="G29" i="3"/>
  <c r="G53" i="3" s="1"/>
  <c r="H59" i="3"/>
  <c r="H58" i="3"/>
  <c r="H57" i="3"/>
  <c r="H68" i="3" s="1"/>
  <c r="I86" i="3"/>
  <c r="H92" i="3"/>
  <c r="E33" i="5"/>
  <c r="F10" i="5"/>
  <c r="G24" i="3"/>
  <c r="F47" i="3"/>
  <c r="F50" i="7"/>
  <c r="AG7" i="2"/>
  <c r="H78" i="7"/>
  <c r="I80" i="7"/>
  <c r="E34" i="5"/>
  <c r="F11" i="5"/>
  <c r="F33" i="3"/>
  <c r="G10" i="3"/>
  <c r="E70" i="7"/>
  <c r="E57" i="7"/>
  <c r="E59" i="7"/>
  <c r="F55" i="7"/>
  <c r="G16" i="3"/>
  <c r="F39" i="3"/>
  <c r="H77" i="5"/>
  <c r="F45" i="3"/>
  <c r="G22" i="3"/>
  <c r="H75" i="3"/>
  <c r="F21" i="5"/>
  <c r="E44" i="5"/>
  <c r="F25" i="5"/>
  <c r="E48" i="5"/>
  <c r="F51" i="7"/>
  <c r="AF8" i="4"/>
  <c r="AG7" i="4"/>
  <c r="I87" i="3"/>
  <c r="H93" i="3"/>
  <c r="H90" i="3"/>
  <c r="F42" i="3"/>
  <c r="G19" i="3"/>
  <c r="I81" i="7"/>
  <c r="H79" i="7"/>
  <c r="H83" i="7"/>
  <c r="H85" i="7" s="1"/>
  <c r="D12" i="2"/>
  <c r="E11" i="2"/>
  <c r="M11" i="2"/>
  <c r="I82" i="7"/>
  <c r="I84" i="7" s="1"/>
  <c r="I89" i="3"/>
  <c r="F46" i="3"/>
  <c r="G23" i="3"/>
  <c r="AH9" i="2"/>
  <c r="AC9" i="2"/>
  <c r="AE9" i="2" s="1"/>
  <c r="G66" i="7"/>
  <c r="G19" i="7"/>
  <c r="G21" i="7"/>
  <c r="G106" i="3"/>
  <c r="G28" i="7" s="1"/>
  <c r="G107" i="3"/>
  <c r="G45" i="7" s="1"/>
  <c r="F40" i="3"/>
  <c r="G17" i="3"/>
  <c r="F12" i="5"/>
  <c r="E35" i="5"/>
  <c r="F34" i="3"/>
  <c r="G11" i="3"/>
  <c r="H39" i="7"/>
  <c r="I104" i="3"/>
  <c r="F24" i="5"/>
  <c r="E47" i="5"/>
  <c r="E38" i="5"/>
  <c r="F15" i="5"/>
  <c r="E37" i="5"/>
  <c r="F14" i="5"/>
  <c r="F41" i="3"/>
  <c r="G18" i="3"/>
  <c r="D12" i="4"/>
  <c r="E11" i="4"/>
  <c r="M11" i="4"/>
  <c r="E42" i="5"/>
  <c r="F19" i="5"/>
  <c r="F38" i="3"/>
  <c r="G15" i="3"/>
  <c r="J11" i="7"/>
  <c r="F12" i="2"/>
  <c r="H11" i="2"/>
  <c r="J35" i="7"/>
  <c r="F44" i="3"/>
  <c r="G21" i="3"/>
  <c r="F8" i="7"/>
  <c r="F10" i="7"/>
  <c r="E41" i="5"/>
  <c r="F18" i="5"/>
  <c r="S9" i="4"/>
  <c r="S10" i="4" s="1"/>
  <c r="H60" i="5"/>
  <c r="H71" i="5" s="1"/>
  <c r="H58" i="5"/>
  <c r="H69" i="5" s="1"/>
  <c r="H59" i="5"/>
  <c r="H70" i="5" s="1"/>
  <c r="H57" i="5"/>
  <c r="H68" i="5" s="1"/>
  <c r="G29" i="5"/>
  <c r="G53" i="5" s="1"/>
  <c r="G90" i="5"/>
  <c r="G24" i="7"/>
  <c r="F36" i="3"/>
  <c r="G13" i="3"/>
  <c r="F13" i="5"/>
  <c r="E36" i="5"/>
  <c r="F7" i="7"/>
  <c r="F9" i="7"/>
  <c r="E56" i="7"/>
  <c r="F16" i="5"/>
  <c r="E39" i="5"/>
  <c r="G23" i="7"/>
  <c r="G108" i="3"/>
  <c r="AE8" i="2"/>
  <c r="AF8" i="2" s="1"/>
  <c r="S8" i="2"/>
  <c r="S9" i="2" s="1"/>
  <c r="S10" i="2" s="1"/>
  <c r="G50" i="7" l="1"/>
  <c r="AF9" i="2"/>
  <c r="AG8" i="2"/>
  <c r="H69" i="7"/>
  <c r="H49" i="7"/>
  <c r="J9" i="4"/>
  <c r="K9" i="4" s="1"/>
  <c r="H68" i="7"/>
  <c r="H48" i="7"/>
  <c r="J9" i="2"/>
  <c r="K9" i="2" s="1"/>
  <c r="F42" i="5"/>
  <c r="G19" i="5"/>
  <c r="F35" i="5"/>
  <c r="G12" i="5"/>
  <c r="Z11" i="2"/>
  <c r="Q11" i="2"/>
  <c r="R11" i="2" s="1"/>
  <c r="J5" i="3" s="1"/>
  <c r="O11" i="2"/>
  <c r="E71" i="7"/>
  <c r="E60" i="7"/>
  <c r="E58" i="7"/>
  <c r="F56" i="7"/>
  <c r="F39" i="5"/>
  <c r="G16" i="5"/>
  <c r="F41" i="5"/>
  <c r="G18" i="5"/>
  <c r="H75" i="5"/>
  <c r="H76" i="5"/>
  <c r="I76" i="5" s="1"/>
  <c r="H11" i="3"/>
  <c r="G34" i="3"/>
  <c r="I93" i="3"/>
  <c r="J87" i="3"/>
  <c r="I90" i="3"/>
  <c r="I75" i="3"/>
  <c r="I92" i="3"/>
  <c r="J86" i="3"/>
  <c r="H78" i="5"/>
  <c r="I62" i="7"/>
  <c r="I18" i="7"/>
  <c r="I27" i="7"/>
  <c r="AD25" i="4"/>
  <c r="AI25" i="4"/>
  <c r="X64" i="5" s="1"/>
  <c r="I6" i="5"/>
  <c r="AE10" i="4"/>
  <c r="AH11" i="4"/>
  <c r="H22" i="3"/>
  <c r="G45" i="3"/>
  <c r="AC10" i="4"/>
  <c r="S11" i="2"/>
  <c r="H15" i="3"/>
  <c r="G38" i="3"/>
  <c r="H18" i="3"/>
  <c r="G41" i="3"/>
  <c r="J81" i="7"/>
  <c r="I79" i="7"/>
  <c r="I83" i="7"/>
  <c r="I85" i="7" s="1"/>
  <c r="G68" i="7"/>
  <c r="G48" i="7"/>
  <c r="J8" i="2"/>
  <c r="K8" i="2" s="1"/>
  <c r="F47" i="5"/>
  <c r="G24" i="5"/>
  <c r="H19" i="3"/>
  <c r="G42" i="3"/>
  <c r="G51" i="7"/>
  <c r="AF9" i="4"/>
  <c r="AG8" i="4"/>
  <c r="H10" i="3"/>
  <c r="G33" i="3"/>
  <c r="H69" i="3"/>
  <c r="H76" i="3"/>
  <c r="H14" i="3"/>
  <c r="G37" i="3"/>
  <c r="G35" i="3"/>
  <c r="H12" i="3"/>
  <c r="I77" i="5"/>
  <c r="H70" i="3"/>
  <c r="H77" i="3"/>
  <c r="F46" i="5"/>
  <c r="G23" i="5"/>
  <c r="I67" i="7"/>
  <c r="I22" i="7"/>
  <c r="I20" i="7"/>
  <c r="I88" i="5"/>
  <c r="I29" i="7" s="1"/>
  <c r="I89" i="5"/>
  <c r="I46" i="7" s="1"/>
  <c r="H67" i="7"/>
  <c r="H22" i="7"/>
  <c r="H20" i="7"/>
  <c r="H88" i="5"/>
  <c r="H29" i="7" s="1"/>
  <c r="H89" i="5"/>
  <c r="H46" i="7" s="1"/>
  <c r="G40" i="3"/>
  <c r="H17" i="3"/>
  <c r="H23" i="7"/>
  <c r="H108" i="3"/>
  <c r="F70" i="7"/>
  <c r="F59" i="7"/>
  <c r="F57" i="7"/>
  <c r="F34" i="5"/>
  <c r="G11" i="5"/>
  <c r="H24" i="3"/>
  <c r="G47" i="3"/>
  <c r="I59" i="5"/>
  <c r="I70" i="5" s="1"/>
  <c r="H29" i="5"/>
  <c r="H53" i="5" s="1"/>
  <c r="I60" i="5"/>
  <c r="I71" i="5" s="1"/>
  <c r="I58" i="5"/>
  <c r="I69" i="5" s="1"/>
  <c r="I57" i="5"/>
  <c r="I68" i="5" s="1"/>
  <c r="H90" i="5"/>
  <c r="H24" i="7"/>
  <c r="G13" i="5"/>
  <c r="F36" i="5"/>
  <c r="G44" i="3"/>
  <c r="H21" i="3"/>
  <c r="G36" i="3"/>
  <c r="H13" i="3"/>
  <c r="O11" i="4"/>
  <c r="Z11" i="4"/>
  <c r="Q11" i="4"/>
  <c r="R11" i="4" s="1"/>
  <c r="J5" i="5" s="1"/>
  <c r="F37" i="5"/>
  <c r="G14" i="5"/>
  <c r="I60" i="3"/>
  <c r="I71" i="3" s="1"/>
  <c r="H29" i="3"/>
  <c r="H53" i="3" s="1"/>
  <c r="I59" i="3"/>
  <c r="I70" i="3" s="1"/>
  <c r="I58" i="3"/>
  <c r="I69" i="3" s="1"/>
  <c r="I57" i="3"/>
  <c r="I68" i="3" s="1"/>
  <c r="G25" i="5"/>
  <c r="F48" i="5"/>
  <c r="G55" i="7"/>
  <c r="G39" i="3"/>
  <c r="H16" i="3"/>
  <c r="F33" i="5"/>
  <c r="G10" i="5"/>
  <c r="H71" i="3"/>
  <c r="H78" i="3"/>
  <c r="I78" i="3" s="1"/>
  <c r="F40" i="5"/>
  <c r="G17" i="5"/>
  <c r="G43" i="3"/>
  <c r="H20" i="3"/>
  <c r="I61" i="7"/>
  <c r="I17" i="7"/>
  <c r="I26" i="7"/>
  <c r="I6" i="3"/>
  <c r="AD25" i="2"/>
  <c r="AI25" i="2"/>
  <c r="X64" i="3" s="1"/>
  <c r="AB11" i="2"/>
  <c r="AC10" i="2"/>
  <c r="AC11" i="2"/>
  <c r="AB10" i="2"/>
  <c r="AH10" i="2"/>
  <c r="G8" i="7"/>
  <c r="G10" i="7"/>
  <c r="I39" i="7"/>
  <c r="J104" i="3"/>
  <c r="H40" i="7"/>
  <c r="I86" i="5"/>
  <c r="AH10" i="4"/>
  <c r="E12" i="2"/>
  <c r="D13" i="2"/>
  <c r="M12" i="2"/>
  <c r="J80" i="7"/>
  <c r="I78" i="7"/>
  <c r="K11" i="7"/>
  <c r="H12" i="2"/>
  <c r="F13" i="2"/>
  <c r="K35" i="7"/>
  <c r="E12" i="4"/>
  <c r="M12" i="4"/>
  <c r="D13" i="4"/>
  <c r="F38" i="5"/>
  <c r="G15" i="5"/>
  <c r="H23" i="3"/>
  <c r="G46" i="3"/>
  <c r="F44" i="5"/>
  <c r="G21" i="5"/>
  <c r="F45" i="5"/>
  <c r="G22" i="5"/>
  <c r="F43" i="5"/>
  <c r="G20" i="5"/>
  <c r="G48" i="3"/>
  <c r="H25" i="3"/>
  <c r="AC11" i="4"/>
  <c r="M12" i="7"/>
  <c r="H14" i="4"/>
  <c r="F15" i="4"/>
  <c r="M36" i="7"/>
  <c r="K57" i="5" l="1"/>
  <c r="K68" i="5" s="1"/>
  <c r="K59" i="5"/>
  <c r="K70" i="5" s="1"/>
  <c r="J29" i="5"/>
  <c r="J53" i="5" s="1"/>
  <c r="K60" i="5"/>
  <c r="K71" i="5" s="1"/>
  <c r="K58" i="5"/>
  <c r="K69" i="5" s="1"/>
  <c r="H20" i="5"/>
  <c r="G43" i="5"/>
  <c r="H15" i="5"/>
  <c r="G38" i="5"/>
  <c r="J86" i="5"/>
  <c r="I40" i="7"/>
  <c r="J23" i="7"/>
  <c r="J108" i="3"/>
  <c r="I23" i="7"/>
  <c r="I108" i="3"/>
  <c r="G70" i="7"/>
  <c r="G59" i="7"/>
  <c r="G57" i="7"/>
  <c r="H35" i="3"/>
  <c r="I12" i="3"/>
  <c r="G7" i="7"/>
  <c r="G9" i="7"/>
  <c r="H45" i="3"/>
  <c r="I22" i="3"/>
  <c r="I78" i="5"/>
  <c r="H34" i="3"/>
  <c r="I11" i="3"/>
  <c r="G56" i="7"/>
  <c r="G39" i="5"/>
  <c r="H16" i="5"/>
  <c r="J61" i="7"/>
  <c r="J17" i="7"/>
  <c r="J26" i="7"/>
  <c r="J6" i="3"/>
  <c r="AI26" i="2"/>
  <c r="Y64" i="3" s="1"/>
  <c r="AD26" i="2"/>
  <c r="AE11" i="2"/>
  <c r="AH11" i="2"/>
  <c r="I23" i="3"/>
  <c r="H46" i="3"/>
  <c r="J59" i="3"/>
  <c r="J70" i="3" s="1"/>
  <c r="J57" i="3"/>
  <c r="J68" i="3" s="1"/>
  <c r="I29" i="3"/>
  <c r="I53" i="3" s="1"/>
  <c r="J58" i="3"/>
  <c r="J69" i="3" s="1"/>
  <c r="J60" i="3"/>
  <c r="J71" i="3" s="1"/>
  <c r="H55" i="7"/>
  <c r="H39" i="3"/>
  <c r="I16" i="3"/>
  <c r="H36" i="3"/>
  <c r="I13" i="3"/>
  <c r="N12" i="7"/>
  <c r="H15" i="4"/>
  <c r="F16" i="4"/>
  <c r="N36" i="7"/>
  <c r="G37" i="5"/>
  <c r="H14" i="5"/>
  <c r="H51" i="7"/>
  <c r="AF10" i="4"/>
  <c r="AG9" i="4"/>
  <c r="I15" i="3"/>
  <c r="H38" i="3"/>
  <c r="I69" i="7"/>
  <c r="I49" i="7"/>
  <c r="J10" i="4"/>
  <c r="K10" i="4" s="1"/>
  <c r="J92" i="3"/>
  <c r="K86" i="3"/>
  <c r="F58" i="7"/>
  <c r="F60" i="7"/>
  <c r="F71" i="7"/>
  <c r="H12" i="5"/>
  <c r="G35" i="5"/>
  <c r="H8" i="7"/>
  <c r="H10" i="7"/>
  <c r="I75" i="5"/>
  <c r="H41" i="3"/>
  <c r="I18" i="3"/>
  <c r="J75" i="3"/>
  <c r="H19" i="5"/>
  <c r="G42" i="5"/>
  <c r="G45" i="5"/>
  <c r="H22" i="5"/>
  <c r="D14" i="4"/>
  <c r="E13" i="4"/>
  <c r="M13" i="4"/>
  <c r="K80" i="7"/>
  <c r="J78" i="7"/>
  <c r="J39" i="7"/>
  <c r="K104" i="3"/>
  <c r="I66" i="7"/>
  <c r="I19" i="7"/>
  <c r="I21" i="7"/>
  <c r="I106" i="3"/>
  <c r="I28" i="7" s="1"/>
  <c r="I107" i="3"/>
  <c r="I45" i="7" s="1"/>
  <c r="Z12" i="2"/>
  <c r="Q12" i="2"/>
  <c r="R12" i="2" s="1"/>
  <c r="K5" i="3" s="1"/>
  <c r="O12" i="2"/>
  <c r="G48" i="5"/>
  <c r="H25" i="5"/>
  <c r="H23" i="5"/>
  <c r="G46" i="5"/>
  <c r="H37" i="3"/>
  <c r="I14" i="3"/>
  <c r="G44" i="5"/>
  <c r="H21" i="5"/>
  <c r="D14" i="2"/>
  <c r="E13" i="2"/>
  <c r="M13" i="2"/>
  <c r="J62" i="7"/>
  <c r="J27" i="7"/>
  <c r="J18" i="7"/>
  <c r="AD26" i="4"/>
  <c r="J6" i="5"/>
  <c r="AI26" i="4"/>
  <c r="Y64" i="5" s="1"/>
  <c r="AE11" i="4"/>
  <c r="AB11" i="4"/>
  <c r="G36" i="5"/>
  <c r="H13" i="5"/>
  <c r="I76" i="3"/>
  <c r="J76" i="3" s="1"/>
  <c r="H42" i="3"/>
  <c r="I19" i="3"/>
  <c r="I90" i="5"/>
  <c r="I24" i="7"/>
  <c r="J89" i="3"/>
  <c r="S12" i="2"/>
  <c r="Z12" i="4"/>
  <c r="Q12" i="4"/>
  <c r="O12" i="4"/>
  <c r="J66" i="7"/>
  <c r="J21" i="7"/>
  <c r="J19" i="7"/>
  <c r="J106" i="3"/>
  <c r="J28" i="7" s="1"/>
  <c r="J107" i="3"/>
  <c r="J45" i="7" s="1"/>
  <c r="G33" i="5"/>
  <c r="H10" i="5"/>
  <c r="H47" i="3"/>
  <c r="I24" i="3"/>
  <c r="H40" i="3"/>
  <c r="I17" i="3"/>
  <c r="I77" i="3"/>
  <c r="H24" i="5"/>
  <c r="G47" i="5"/>
  <c r="K81" i="7"/>
  <c r="J79" i="7"/>
  <c r="J83" i="7"/>
  <c r="J85" i="7" s="1"/>
  <c r="K87" i="3"/>
  <c r="J93" i="3"/>
  <c r="J90" i="3"/>
  <c r="J82" i="7"/>
  <c r="J84" i="7" s="1"/>
  <c r="H7" i="7"/>
  <c r="H9" i="7"/>
  <c r="H50" i="7"/>
  <c r="AG9" i="2"/>
  <c r="H43" i="3"/>
  <c r="I20" i="3"/>
  <c r="H33" i="3"/>
  <c r="I10" i="3"/>
  <c r="G40" i="5"/>
  <c r="H17" i="5"/>
  <c r="H44" i="3"/>
  <c r="I21" i="3"/>
  <c r="J90" i="5"/>
  <c r="J24" i="7"/>
  <c r="H48" i="3"/>
  <c r="I25" i="3"/>
  <c r="L11" i="7"/>
  <c r="F14" i="2"/>
  <c r="H13" i="2"/>
  <c r="L35" i="7"/>
  <c r="J58" i="5"/>
  <c r="J69" i="5" s="1"/>
  <c r="J60" i="5"/>
  <c r="J71" i="5" s="1"/>
  <c r="I29" i="5"/>
  <c r="I53" i="5" s="1"/>
  <c r="J57" i="5"/>
  <c r="J68" i="5" s="1"/>
  <c r="J59" i="5"/>
  <c r="J70" i="5" s="1"/>
  <c r="AE10" i="2"/>
  <c r="S11" i="4"/>
  <c r="H11" i="5"/>
  <c r="G34" i="5"/>
  <c r="G41" i="5"/>
  <c r="H18" i="5"/>
  <c r="I24" i="5" l="1"/>
  <c r="H47" i="5"/>
  <c r="L80" i="7"/>
  <c r="K78" i="7"/>
  <c r="I68" i="7"/>
  <c r="I48" i="7"/>
  <c r="J10" i="2"/>
  <c r="K10" i="2" s="1"/>
  <c r="M11" i="7"/>
  <c r="F15" i="2"/>
  <c r="H14" i="2"/>
  <c r="M35" i="7"/>
  <c r="H40" i="5"/>
  <c r="I17" i="5"/>
  <c r="AB12" i="4"/>
  <c r="I47" i="3"/>
  <c r="J24" i="3"/>
  <c r="J14" i="3"/>
  <c r="I37" i="3"/>
  <c r="H41" i="5"/>
  <c r="I18" i="5"/>
  <c r="J25" i="3"/>
  <c r="I48" i="3"/>
  <c r="J10" i="3"/>
  <c r="I33" i="3"/>
  <c r="I42" i="3"/>
  <c r="J19" i="3"/>
  <c r="K61" i="7"/>
  <c r="K17" i="7"/>
  <c r="K26" i="7"/>
  <c r="K6" i="3"/>
  <c r="AI27" i="2"/>
  <c r="Z64" i="3" s="1"/>
  <c r="AD27" i="2"/>
  <c r="AC12" i="2"/>
  <c r="AB12" i="2"/>
  <c r="AH12" i="2"/>
  <c r="K39" i="7"/>
  <c r="L104" i="3"/>
  <c r="I38" i="3"/>
  <c r="J15" i="3"/>
  <c r="I46" i="3"/>
  <c r="J23" i="3"/>
  <c r="H56" i="7"/>
  <c r="H39" i="5"/>
  <c r="I16" i="5"/>
  <c r="I20" i="5"/>
  <c r="H43" i="5"/>
  <c r="L81" i="7"/>
  <c r="K79" i="7"/>
  <c r="K83" i="7"/>
  <c r="K85" i="7" s="1"/>
  <c r="H33" i="5"/>
  <c r="I10" i="5"/>
  <c r="R12" i="4"/>
  <c r="K5" i="5" s="1"/>
  <c r="AH13" i="4"/>
  <c r="J75" i="5"/>
  <c r="K75" i="5" s="1"/>
  <c r="J76" i="5"/>
  <c r="K76" i="5" s="1"/>
  <c r="J68" i="7"/>
  <c r="J48" i="7"/>
  <c r="J11" i="2"/>
  <c r="K11" i="2" s="1"/>
  <c r="G60" i="7"/>
  <c r="G71" i="7"/>
  <c r="G58" i="7"/>
  <c r="H46" i="5"/>
  <c r="I23" i="5"/>
  <c r="K92" i="3"/>
  <c r="L86" i="3"/>
  <c r="I51" i="7"/>
  <c r="AF11" i="4"/>
  <c r="AG10" i="4"/>
  <c r="J13" i="3"/>
  <c r="I36" i="3"/>
  <c r="I35" i="3"/>
  <c r="J12" i="3"/>
  <c r="I34" i="3"/>
  <c r="J11" i="3"/>
  <c r="H36" i="5"/>
  <c r="I13" i="5"/>
  <c r="J69" i="7"/>
  <c r="J49" i="7"/>
  <c r="J11" i="4"/>
  <c r="K11" i="4" s="1"/>
  <c r="H34" i="5"/>
  <c r="I11" i="5"/>
  <c r="J21" i="3"/>
  <c r="I44" i="3"/>
  <c r="K93" i="3"/>
  <c r="L87" i="3"/>
  <c r="K90" i="3"/>
  <c r="J77" i="3"/>
  <c r="D15" i="2"/>
  <c r="E14" i="2"/>
  <c r="M14" i="2"/>
  <c r="Z13" i="4"/>
  <c r="Q13" i="4"/>
  <c r="R13" i="4" s="1"/>
  <c r="L5" i="5" s="1"/>
  <c r="O13" i="4"/>
  <c r="I8" i="7"/>
  <c r="I10" i="7"/>
  <c r="H37" i="5"/>
  <c r="I14" i="5"/>
  <c r="I55" i="7"/>
  <c r="I39" i="3"/>
  <c r="J16" i="3"/>
  <c r="J40" i="7"/>
  <c r="K86" i="5"/>
  <c r="I43" i="3"/>
  <c r="J20" i="3"/>
  <c r="K62" i="7"/>
  <c r="K27" i="7"/>
  <c r="K18" i="7"/>
  <c r="K6" i="5"/>
  <c r="AD27" i="4"/>
  <c r="AI27" i="4"/>
  <c r="Z64" i="5" s="1"/>
  <c r="AB13" i="4"/>
  <c r="AC12" i="4"/>
  <c r="J67" i="7"/>
  <c r="J22" i="7"/>
  <c r="J88" i="5"/>
  <c r="J29" i="7" s="1"/>
  <c r="J20" i="7"/>
  <c r="J89" i="5"/>
  <c r="J46" i="7" s="1"/>
  <c r="AH12" i="4"/>
  <c r="Z13" i="2"/>
  <c r="AB13" i="2" s="1"/>
  <c r="O13" i="2"/>
  <c r="Q13" i="2"/>
  <c r="H48" i="5"/>
  <c r="I25" i="5"/>
  <c r="L82" i="7"/>
  <c r="L84" i="7" s="1"/>
  <c r="L89" i="3"/>
  <c r="AF10" i="2"/>
  <c r="J17" i="3"/>
  <c r="I40" i="3"/>
  <c r="H44" i="5"/>
  <c r="I21" i="5"/>
  <c r="J78" i="3"/>
  <c r="H42" i="5"/>
  <c r="I19" i="5"/>
  <c r="H35" i="5"/>
  <c r="I12" i="5"/>
  <c r="H57" i="7"/>
  <c r="H70" i="7"/>
  <c r="H59" i="7"/>
  <c r="K89" i="3"/>
  <c r="K60" i="3"/>
  <c r="K71" i="3" s="1"/>
  <c r="K57" i="3"/>
  <c r="K68" i="3" s="1"/>
  <c r="J29" i="3"/>
  <c r="J53" i="3" s="1"/>
  <c r="K59" i="3"/>
  <c r="K70" i="3" s="1"/>
  <c r="K58" i="3"/>
  <c r="K69" i="3" s="1"/>
  <c r="J78" i="5"/>
  <c r="K78" i="5" s="1"/>
  <c r="D15" i="4"/>
  <c r="M14" i="4"/>
  <c r="E14" i="4"/>
  <c r="K82" i="7"/>
  <c r="K84" i="7" s="1"/>
  <c r="J22" i="3"/>
  <c r="I45" i="3"/>
  <c r="H38" i="5"/>
  <c r="I15" i="5"/>
  <c r="J77" i="5"/>
  <c r="K77" i="5" s="1"/>
  <c r="H45" i="5"/>
  <c r="I22" i="5"/>
  <c r="J18" i="3"/>
  <c r="I41" i="3"/>
  <c r="O12" i="7"/>
  <c r="H16" i="4"/>
  <c r="F17" i="4"/>
  <c r="O36" i="7"/>
  <c r="L66" i="7" l="1"/>
  <c r="L21" i="7"/>
  <c r="L19" i="7"/>
  <c r="L106" i="3"/>
  <c r="L28" i="7" s="1"/>
  <c r="L107" i="3"/>
  <c r="L45" i="7" s="1"/>
  <c r="J14" i="5"/>
  <c r="I37" i="5"/>
  <c r="M87" i="3"/>
  <c r="L93" i="3"/>
  <c r="L90" i="3"/>
  <c r="M86" i="3"/>
  <c r="L92" i="3"/>
  <c r="I56" i="7"/>
  <c r="I39" i="5"/>
  <c r="J16" i="5"/>
  <c r="J38" i="3"/>
  <c r="K15" i="3"/>
  <c r="J42" i="3"/>
  <c r="K19" i="3"/>
  <c r="J41" i="3"/>
  <c r="K18" i="3"/>
  <c r="I35" i="5"/>
  <c r="J12" i="5"/>
  <c r="L58" i="5"/>
  <c r="L69" i="5" s="1"/>
  <c r="L60" i="5"/>
  <c r="L71" i="5" s="1"/>
  <c r="L59" i="5"/>
  <c r="L70" i="5" s="1"/>
  <c r="L57" i="5"/>
  <c r="L68" i="5" s="1"/>
  <c r="K29" i="5"/>
  <c r="K53" i="5" s="1"/>
  <c r="J22" i="5"/>
  <c r="I45" i="5"/>
  <c r="K75" i="3"/>
  <c r="S12" i="4"/>
  <c r="S13" i="4" s="1"/>
  <c r="K76" i="3"/>
  <c r="L67" i="7"/>
  <c r="L20" i="7"/>
  <c r="L88" i="5"/>
  <c r="L29" i="7" s="1"/>
  <c r="L22" i="7"/>
  <c r="L89" i="5"/>
  <c r="L46" i="7" s="1"/>
  <c r="J43" i="3"/>
  <c r="K20" i="3"/>
  <c r="E15" i="2"/>
  <c r="D16" i="2"/>
  <c r="M15" i="2"/>
  <c r="J35" i="3"/>
  <c r="K12" i="3"/>
  <c r="J10" i="5"/>
  <c r="I33" i="5"/>
  <c r="H58" i="7"/>
  <c r="H71" i="7"/>
  <c r="H60" i="7"/>
  <c r="K23" i="7"/>
  <c r="K108" i="3"/>
  <c r="K14" i="3"/>
  <c r="J37" i="3"/>
  <c r="I40" i="5"/>
  <c r="J17" i="5"/>
  <c r="I44" i="5"/>
  <c r="J21" i="5"/>
  <c r="I50" i="7"/>
  <c r="AG10" i="2"/>
  <c r="AF11" i="2"/>
  <c r="J55" i="7"/>
  <c r="J39" i="3"/>
  <c r="K16" i="3"/>
  <c r="K22" i="3"/>
  <c r="J45" i="3"/>
  <c r="K24" i="7"/>
  <c r="K90" i="5"/>
  <c r="J19" i="5"/>
  <c r="I42" i="5"/>
  <c r="I48" i="5"/>
  <c r="J25" i="5"/>
  <c r="AE12" i="4"/>
  <c r="J23" i="5"/>
  <c r="I46" i="5"/>
  <c r="L76" i="5"/>
  <c r="L39" i="7"/>
  <c r="M104" i="3"/>
  <c r="L60" i="3"/>
  <c r="L71" i="3" s="1"/>
  <c r="L57" i="3"/>
  <c r="L68" i="3" s="1"/>
  <c r="L59" i="3"/>
  <c r="L70" i="3" s="1"/>
  <c r="L58" i="3"/>
  <c r="L69" i="3" s="1"/>
  <c r="K29" i="3"/>
  <c r="K53" i="3" s="1"/>
  <c r="Z14" i="4"/>
  <c r="Q14" i="4"/>
  <c r="R14" i="4" s="1"/>
  <c r="M5" i="5" s="1"/>
  <c r="O14" i="4"/>
  <c r="K40" i="7"/>
  <c r="L86" i="5"/>
  <c r="L75" i="5"/>
  <c r="J46" i="3"/>
  <c r="K23" i="3"/>
  <c r="AC13" i="2"/>
  <c r="K66" i="7"/>
  <c r="K21" i="7"/>
  <c r="K19" i="7"/>
  <c r="K106" i="3"/>
  <c r="K28" i="7" s="1"/>
  <c r="K107" i="3"/>
  <c r="K45" i="7" s="1"/>
  <c r="J33" i="3"/>
  <c r="K10" i="3"/>
  <c r="M80" i="7"/>
  <c r="L78" i="7"/>
  <c r="L77" i="5"/>
  <c r="J44" i="3"/>
  <c r="K21" i="3"/>
  <c r="P12" i="7"/>
  <c r="F18" i="4"/>
  <c r="H17" i="4"/>
  <c r="P36" i="7"/>
  <c r="I38" i="5"/>
  <c r="J15" i="5"/>
  <c r="E15" i="4"/>
  <c r="D16" i="4"/>
  <c r="M15" i="4"/>
  <c r="K78" i="3"/>
  <c r="L78" i="3" s="1"/>
  <c r="J40" i="3"/>
  <c r="K17" i="3"/>
  <c r="R13" i="2"/>
  <c r="J11" i="5"/>
  <c r="I34" i="5"/>
  <c r="J36" i="3"/>
  <c r="K13" i="3"/>
  <c r="M82" i="7"/>
  <c r="M84" i="7" s="1"/>
  <c r="M89" i="3"/>
  <c r="I36" i="5"/>
  <c r="J13" i="5"/>
  <c r="M60" i="5"/>
  <c r="M71" i="5" s="1"/>
  <c r="M58" i="5"/>
  <c r="M69" i="5" s="1"/>
  <c r="L29" i="5"/>
  <c r="L53" i="5" s="1"/>
  <c r="M59" i="5"/>
  <c r="M70" i="5" s="1"/>
  <c r="M57" i="5"/>
  <c r="M68" i="5" s="1"/>
  <c r="L79" i="7"/>
  <c r="M81" i="7"/>
  <c r="L83" i="7"/>
  <c r="L85" i="7" s="1"/>
  <c r="J48" i="3"/>
  <c r="K25" i="3"/>
  <c r="J47" i="3"/>
  <c r="K24" i="3"/>
  <c r="N11" i="7"/>
  <c r="H15" i="2"/>
  <c r="F16" i="2"/>
  <c r="N35" i="7"/>
  <c r="L78" i="5"/>
  <c r="M78" i="5" s="1"/>
  <c r="L61" i="7"/>
  <c r="L26" i="7"/>
  <c r="L17" i="7"/>
  <c r="AD28" i="2"/>
  <c r="L6" i="3"/>
  <c r="AI28" i="2"/>
  <c r="AA64" i="3" s="1"/>
  <c r="I59" i="7"/>
  <c r="I70" i="7"/>
  <c r="I57" i="7"/>
  <c r="L62" i="7"/>
  <c r="L27" i="7"/>
  <c r="L18" i="7"/>
  <c r="L6" i="5"/>
  <c r="AD28" i="4"/>
  <c r="AI28" i="4"/>
  <c r="AA64" i="5" s="1"/>
  <c r="AC13" i="4"/>
  <c r="K77" i="3"/>
  <c r="L77" i="3" s="1"/>
  <c r="J8" i="7"/>
  <c r="J10" i="7"/>
  <c r="J51" i="7"/>
  <c r="AF12" i="4"/>
  <c r="AG11" i="4"/>
  <c r="AH13" i="2"/>
  <c r="J18" i="5"/>
  <c r="I41" i="5"/>
  <c r="I47" i="5"/>
  <c r="J24" i="5"/>
  <c r="Z14" i="2"/>
  <c r="Q14" i="2"/>
  <c r="O14" i="2"/>
  <c r="J34" i="3"/>
  <c r="K11" i="3"/>
  <c r="J7" i="7"/>
  <c r="J9" i="7"/>
  <c r="I43" i="5"/>
  <c r="J20" i="5"/>
  <c r="AE12" i="2"/>
  <c r="K67" i="7"/>
  <c r="K88" i="5"/>
  <c r="K29" i="7" s="1"/>
  <c r="K22" i="7"/>
  <c r="K20" i="7"/>
  <c r="K89" i="5"/>
  <c r="K46" i="7" s="1"/>
  <c r="I7" i="7"/>
  <c r="I9" i="7"/>
  <c r="K19" i="5" l="1"/>
  <c r="J42" i="5"/>
  <c r="J50" i="7"/>
  <c r="AF12" i="2"/>
  <c r="AG11" i="2"/>
  <c r="J40" i="5"/>
  <c r="K17" i="5"/>
  <c r="K43" i="3"/>
  <c r="S14" i="4"/>
  <c r="N87" i="3"/>
  <c r="M93" i="3"/>
  <c r="M90" i="3"/>
  <c r="K33" i="3"/>
  <c r="K47" i="3"/>
  <c r="M78" i="3"/>
  <c r="Q12" i="7"/>
  <c r="H18" i="4"/>
  <c r="F19" i="4"/>
  <c r="Q36" i="7"/>
  <c r="L23" i="7"/>
  <c r="L108" i="3"/>
  <c r="M62" i="7"/>
  <c r="M27" i="7"/>
  <c r="M18" i="7"/>
  <c r="AD29" i="4"/>
  <c r="M6" i="5"/>
  <c r="AI29" i="4"/>
  <c r="AB64" i="5" s="1"/>
  <c r="AH14" i="4"/>
  <c r="AC14" i="4"/>
  <c r="AE14" i="4" s="1"/>
  <c r="AB14" i="4"/>
  <c r="M76" i="5"/>
  <c r="L75" i="3"/>
  <c r="J35" i="5"/>
  <c r="K12" i="5"/>
  <c r="J56" i="7"/>
  <c r="J39" i="5"/>
  <c r="K16" i="5"/>
  <c r="K46" i="3"/>
  <c r="L23" i="3"/>
  <c r="J33" i="5"/>
  <c r="K10" i="5"/>
  <c r="I58" i="7"/>
  <c r="I60" i="7"/>
  <c r="I71" i="7"/>
  <c r="J37" i="5"/>
  <c r="K14" i="5"/>
  <c r="K34" i="3"/>
  <c r="J41" i="5"/>
  <c r="K18" i="5"/>
  <c r="L24" i="7"/>
  <c r="L90" i="5"/>
  <c r="Q15" i="4"/>
  <c r="R15" i="4" s="1"/>
  <c r="N5" i="5" s="1"/>
  <c r="O15" i="4"/>
  <c r="Z15" i="4"/>
  <c r="AE13" i="4"/>
  <c r="D17" i="4"/>
  <c r="E16" i="4"/>
  <c r="M16" i="4"/>
  <c r="K44" i="3"/>
  <c r="K23" i="5"/>
  <c r="J46" i="5"/>
  <c r="J44" i="5"/>
  <c r="K21" i="5"/>
  <c r="K37" i="3"/>
  <c r="K35" i="3"/>
  <c r="J45" i="5"/>
  <c r="K22" i="5"/>
  <c r="K41" i="3"/>
  <c r="K36" i="3"/>
  <c r="M75" i="5"/>
  <c r="K69" i="7"/>
  <c r="K49" i="7"/>
  <c r="J12" i="4"/>
  <c r="K12" i="4" s="1"/>
  <c r="K45" i="3"/>
  <c r="K68" i="7"/>
  <c r="K48" i="7"/>
  <c r="J12" i="2"/>
  <c r="K12" i="2" s="1"/>
  <c r="R14" i="2"/>
  <c r="M5" i="3" s="1"/>
  <c r="K51" i="7"/>
  <c r="AF13" i="4"/>
  <c r="AG12" i="4"/>
  <c r="AE13" i="2"/>
  <c r="J36" i="5"/>
  <c r="K13" i="5"/>
  <c r="J34" i="5"/>
  <c r="K11" i="5"/>
  <c r="J38" i="5"/>
  <c r="K15" i="5"/>
  <c r="M77" i="5"/>
  <c r="L40" i="7"/>
  <c r="M86" i="5"/>
  <c r="J48" i="5"/>
  <c r="K25" i="5"/>
  <c r="K55" i="7"/>
  <c r="L16" i="3"/>
  <c r="K39" i="3"/>
  <c r="Q15" i="2"/>
  <c r="R15" i="2" s="1"/>
  <c r="N5" i="3" s="1"/>
  <c r="O15" i="2"/>
  <c r="Z15" i="2"/>
  <c r="K42" i="3"/>
  <c r="M92" i="3"/>
  <c r="N86" i="3"/>
  <c r="M60" i="3"/>
  <c r="M71" i="3" s="1"/>
  <c r="M57" i="3"/>
  <c r="M68" i="3" s="1"/>
  <c r="M58" i="3"/>
  <c r="M69" i="3" s="1"/>
  <c r="L29" i="3"/>
  <c r="L53" i="3" s="1"/>
  <c r="M59" i="3"/>
  <c r="M70" i="3" s="1"/>
  <c r="K48" i="3"/>
  <c r="O11" i="7"/>
  <c r="H16" i="2"/>
  <c r="F17" i="2"/>
  <c r="O35" i="7"/>
  <c r="M79" i="7"/>
  <c r="N81" i="7"/>
  <c r="M83" i="7"/>
  <c r="M85" i="7" s="1"/>
  <c r="L5" i="3"/>
  <c r="L18" i="3" s="1"/>
  <c r="S13" i="2"/>
  <c r="S14" i="2" s="1"/>
  <c r="S15" i="2" s="1"/>
  <c r="J70" i="7"/>
  <c r="J59" i="7"/>
  <c r="J57" i="7"/>
  <c r="D17" i="2"/>
  <c r="E16" i="2"/>
  <c r="M16" i="2"/>
  <c r="J43" i="5"/>
  <c r="K20" i="5"/>
  <c r="M61" i="7"/>
  <c r="M26" i="7"/>
  <c r="M17" i="7"/>
  <c r="M6" i="3"/>
  <c r="AD29" i="2"/>
  <c r="AI29" i="2"/>
  <c r="AB64" i="3" s="1"/>
  <c r="AH14" i="2"/>
  <c r="AC14" i="2"/>
  <c r="AB14" i="2"/>
  <c r="J47" i="5"/>
  <c r="K24" i="5"/>
  <c r="N82" i="7"/>
  <c r="N84" i="7" s="1"/>
  <c r="L17" i="3"/>
  <c r="K40" i="3"/>
  <c r="N80" i="7"/>
  <c r="M78" i="7"/>
  <c r="M39" i="7"/>
  <c r="N104" i="3"/>
  <c r="L76" i="3"/>
  <c r="M76" i="3" s="1"/>
  <c r="K38" i="3"/>
  <c r="L15" i="3"/>
  <c r="L41" i="3" l="1"/>
  <c r="M18" i="3"/>
  <c r="M49" i="7"/>
  <c r="M69" i="7"/>
  <c r="J14" i="4"/>
  <c r="K14" i="4" s="1"/>
  <c r="M23" i="7"/>
  <c r="M108" i="3"/>
  <c r="K59" i="7"/>
  <c r="K57" i="7"/>
  <c r="K70" i="7"/>
  <c r="K38" i="5"/>
  <c r="L15" i="5"/>
  <c r="L51" i="7"/>
  <c r="AF14" i="4"/>
  <c r="AG13" i="4"/>
  <c r="K8" i="7"/>
  <c r="K10" i="7"/>
  <c r="L49" i="7"/>
  <c r="L69" i="7"/>
  <c r="J13" i="4"/>
  <c r="K13" i="4" s="1"/>
  <c r="L11" i="3"/>
  <c r="M75" i="3"/>
  <c r="L20" i="3"/>
  <c r="L38" i="3"/>
  <c r="M15" i="3"/>
  <c r="L40" i="3"/>
  <c r="M17" i="3"/>
  <c r="N59" i="3"/>
  <c r="N70" i="3" s="1"/>
  <c r="N58" i="3"/>
  <c r="N69" i="3" s="1"/>
  <c r="N60" i="3"/>
  <c r="N71" i="3" s="1"/>
  <c r="M29" i="3"/>
  <c r="M53" i="3" s="1"/>
  <c r="N57" i="3"/>
  <c r="N68" i="3" s="1"/>
  <c r="K43" i="5"/>
  <c r="L20" i="5"/>
  <c r="L17" i="5"/>
  <c r="K40" i="5"/>
  <c r="O86" i="3"/>
  <c r="N92" i="3"/>
  <c r="K34" i="5"/>
  <c r="L11" i="5"/>
  <c r="K37" i="5"/>
  <c r="L14" i="5"/>
  <c r="M67" i="7"/>
  <c r="M20" i="7"/>
  <c r="M88" i="5"/>
  <c r="M29" i="7" s="1"/>
  <c r="M22" i="7"/>
  <c r="M89" i="5"/>
  <c r="M46" i="7" s="1"/>
  <c r="L22" i="5"/>
  <c r="K45" i="5"/>
  <c r="K46" i="5"/>
  <c r="L23" i="5"/>
  <c r="N76" i="3"/>
  <c r="N89" i="3"/>
  <c r="AE14" i="2"/>
  <c r="O16" i="2"/>
  <c r="Z16" i="2"/>
  <c r="Q16" i="2"/>
  <c r="R16" i="2" s="1"/>
  <c r="O5" i="3" s="1"/>
  <c r="L25" i="3"/>
  <c r="L25" i="5"/>
  <c r="K48" i="5"/>
  <c r="N75" i="5"/>
  <c r="K56" i="7"/>
  <c r="K39" i="5"/>
  <c r="L16" i="5"/>
  <c r="N39" i="7"/>
  <c r="O104" i="3"/>
  <c r="O81" i="7"/>
  <c r="N79" i="7"/>
  <c r="N83" i="7"/>
  <c r="N85" i="7" s="1"/>
  <c r="L13" i="5"/>
  <c r="K36" i="5"/>
  <c r="L12" i="3"/>
  <c r="L21" i="3"/>
  <c r="J60" i="7"/>
  <c r="J71" i="7"/>
  <c r="J58" i="7"/>
  <c r="N60" i="5"/>
  <c r="N58" i="5"/>
  <c r="N69" i="5" s="1"/>
  <c r="N57" i="5"/>
  <c r="N68" i="5" s="1"/>
  <c r="N59" i="5"/>
  <c r="N70" i="5" s="1"/>
  <c r="M29" i="5"/>
  <c r="M53" i="5" s="1"/>
  <c r="L24" i="3"/>
  <c r="K50" i="7"/>
  <c r="AG12" i="2"/>
  <c r="AF13" i="2"/>
  <c r="L46" i="3"/>
  <c r="M23" i="3"/>
  <c r="D18" i="2"/>
  <c r="E17" i="2"/>
  <c r="M17" i="2"/>
  <c r="N61" i="7"/>
  <c r="N26" i="7"/>
  <c r="N17" i="7"/>
  <c r="AI30" i="2"/>
  <c r="AC64" i="3" s="1"/>
  <c r="AD30" i="2"/>
  <c r="N6" i="3"/>
  <c r="AH15" i="2"/>
  <c r="AB15" i="2"/>
  <c r="AC15" i="2"/>
  <c r="M40" i="7"/>
  <c r="N86" i="5"/>
  <c r="L14" i="3"/>
  <c r="O16" i="4"/>
  <c r="Z16" i="4"/>
  <c r="Q16" i="4"/>
  <c r="M77" i="3"/>
  <c r="N77" i="3" s="1"/>
  <c r="O87" i="3"/>
  <c r="N93" i="3"/>
  <c r="N90" i="3"/>
  <c r="L55" i="7"/>
  <c r="L39" i="3"/>
  <c r="M16" i="3"/>
  <c r="N62" i="7"/>
  <c r="N27" i="7"/>
  <c r="N18" i="7"/>
  <c r="AD30" i="4"/>
  <c r="N6" i="5"/>
  <c r="AI30" i="4"/>
  <c r="AC64" i="5" s="1"/>
  <c r="AE15" i="4"/>
  <c r="AB15" i="4"/>
  <c r="AC15" i="4"/>
  <c r="AH15" i="4"/>
  <c r="L18" i="5"/>
  <c r="K41" i="5"/>
  <c r="K35" i="5"/>
  <c r="L12" i="5"/>
  <c r="L10" i="3"/>
  <c r="S15" i="4"/>
  <c r="L19" i="3"/>
  <c r="K7" i="7"/>
  <c r="K9" i="7"/>
  <c r="M24" i="7"/>
  <c r="M90" i="5"/>
  <c r="K47" i="5"/>
  <c r="L24" i="5"/>
  <c r="L68" i="7"/>
  <c r="L48" i="7"/>
  <c r="J13" i="2"/>
  <c r="K13" i="2" s="1"/>
  <c r="L13" i="3"/>
  <c r="N78" i="7"/>
  <c r="O80" i="7"/>
  <c r="O82" i="7" s="1"/>
  <c r="O84" i="7" s="1"/>
  <c r="M66" i="7"/>
  <c r="M19" i="7"/>
  <c r="M21" i="7"/>
  <c r="M106" i="3"/>
  <c r="M28" i="7" s="1"/>
  <c r="M107" i="3"/>
  <c r="M45" i="7" s="1"/>
  <c r="P11" i="7"/>
  <c r="F18" i="2"/>
  <c r="H17" i="2"/>
  <c r="P35" i="7"/>
  <c r="N77" i="5"/>
  <c r="L22" i="3"/>
  <c r="L21" i="5"/>
  <c r="K44" i="5"/>
  <c r="D18" i="4"/>
  <c r="E17" i="4"/>
  <c r="M17" i="4"/>
  <c r="L10" i="5"/>
  <c r="K33" i="5"/>
  <c r="R12" i="7"/>
  <c r="F20" i="4"/>
  <c r="H19" i="4"/>
  <c r="R36" i="7"/>
  <c r="K42" i="5"/>
  <c r="L19" i="5"/>
  <c r="Q11" i="7" l="1"/>
  <c r="H18" i="2"/>
  <c r="F19" i="2"/>
  <c r="Q35" i="7"/>
  <c r="L36" i="5"/>
  <c r="M13" i="5"/>
  <c r="M48" i="7"/>
  <c r="M68" i="7"/>
  <c r="J14" i="2"/>
  <c r="K14" i="2" s="1"/>
  <c r="L43" i="5"/>
  <c r="M20" i="5"/>
  <c r="L34" i="3"/>
  <c r="M11" i="3"/>
  <c r="L41" i="5"/>
  <c r="M18" i="5"/>
  <c r="O93" i="3"/>
  <c r="P87" i="3"/>
  <c r="O90" i="3"/>
  <c r="N23" i="7"/>
  <c r="N108" i="3"/>
  <c r="L50" i="7"/>
  <c r="AF14" i="2"/>
  <c r="AG13" i="2"/>
  <c r="N71" i="5"/>
  <c r="N78" i="5"/>
  <c r="L34" i="5"/>
  <c r="M11" i="5"/>
  <c r="N15" i="3"/>
  <c r="M38" i="3"/>
  <c r="L8" i="7"/>
  <c r="L10" i="7"/>
  <c r="L38" i="5"/>
  <c r="M15" i="5"/>
  <c r="N66" i="7"/>
  <c r="N19" i="7"/>
  <c r="N21" i="7"/>
  <c r="N106" i="3"/>
  <c r="N28" i="7" s="1"/>
  <c r="N107" i="3"/>
  <c r="N45" i="7" s="1"/>
  <c r="S12" i="7"/>
  <c r="F21" i="4"/>
  <c r="H20" i="4"/>
  <c r="S36" i="7"/>
  <c r="L44" i="5"/>
  <c r="M21" i="5"/>
  <c r="L42" i="3"/>
  <c r="M19" i="3"/>
  <c r="N24" i="7"/>
  <c r="N90" i="5"/>
  <c r="R16" i="4"/>
  <c r="O5" i="5" s="1"/>
  <c r="O58" i="3"/>
  <c r="O69" i="3" s="1"/>
  <c r="N29" i="3"/>
  <c r="N53" i="3" s="1"/>
  <c r="O57" i="3"/>
  <c r="O68" i="3" s="1"/>
  <c r="O59" i="3"/>
  <c r="O70" i="3" s="1"/>
  <c r="O60" i="3"/>
  <c r="O71" i="3" s="1"/>
  <c r="O17" i="2"/>
  <c r="Q17" i="2"/>
  <c r="Z17" i="2"/>
  <c r="P81" i="7"/>
  <c r="O79" i="7"/>
  <c r="O83" i="7"/>
  <c r="O85" i="7" s="1"/>
  <c r="L48" i="5"/>
  <c r="M25" i="5"/>
  <c r="L46" i="5"/>
  <c r="M23" i="5"/>
  <c r="L43" i="3"/>
  <c r="M20" i="3"/>
  <c r="M8" i="7"/>
  <c r="M10" i="7"/>
  <c r="S16" i="4"/>
  <c r="P86" i="3"/>
  <c r="O92" i="3"/>
  <c r="D19" i="4"/>
  <c r="M18" i="4"/>
  <c r="E18" i="4"/>
  <c r="O59" i="5"/>
  <c r="O70" i="5" s="1"/>
  <c r="O58" i="5"/>
  <c r="O69" i="5" s="1"/>
  <c r="O57" i="5"/>
  <c r="O68" i="5" s="1"/>
  <c r="O60" i="5"/>
  <c r="O71" i="5" s="1"/>
  <c r="N29" i="5"/>
  <c r="N53" i="5" s="1"/>
  <c r="L47" i="5"/>
  <c r="M24" i="5"/>
  <c r="L33" i="3"/>
  <c r="M10" i="3"/>
  <c r="N69" i="7"/>
  <c r="N49" i="7"/>
  <c r="J15" i="4"/>
  <c r="K15" i="4" s="1"/>
  <c r="L59" i="7"/>
  <c r="L57" i="7"/>
  <c r="L70" i="7"/>
  <c r="D19" i="2"/>
  <c r="M18" i="2"/>
  <c r="E18" i="2"/>
  <c r="L44" i="3"/>
  <c r="M21" i="3"/>
  <c r="L7" i="7"/>
  <c r="L9" i="7"/>
  <c r="L45" i="3"/>
  <c r="M22" i="3"/>
  <c r="N67" i="7"/>
  <c r="N20" i="7"/>
  <c r="N88" i="5"/>
  <c r="N29" i="7" s="1"/>
  <c r="N22" i="7"/>
  <c r="N89" i="5"/>
  <c r="N46" i="7" s="1"/>
  <c r="AE15" i="2"/>
  <c r="L47" i="3"/>
  <c r="M24" i="3"/>
  <c r="O39" i="7"/>
  <c r="P104" i="3"/>
  <c r="L48" i="3"/>
  <c r="M25" i="3"/>
  <c r="O77" i="5"/>
  <c r="L33" i="5"/>
  <c r="M10" i="5"/>
  <c r="L35" i="5"/>
  <c r="M12" i="5"/>
  <c r="L37" i="3"/>
  <c r="M14" i="3"/>
  <c r="N76" i="5"/>
  <c r="O76" i="5" s="1"/>
  <c r="L35" i="3"/>
  <c r="M12" i="3"/>
  <c r="L39" i="5"/>
  <c r="L56" i="7"/>
  <c r="M16" i="5"/>
  <c r="O61" i="7"/>
  <c r="O26" i="7"/>
  <c r="O17" i="7"/>
  <c r="O6" i="3"/>
  <c r="AI31" i="2"/>
  <c r="AD64" i="3" s="1"/>
  <c r="AD31" i="2"/>
  <c r="AH16" i="2"/>
  <c r="AC16" i="2"/>
  <c r="AE16" i="2" s="1"/>
  <c r="AB16" i="2"/>
  <c r="M22" i="5"/>
  <c r="L45" i="5"/>
  <c r="L40" i="5"/>
  <c r="M17" i="5"/>
  <c r="M41" i="3"/>
  <c r="N18" i="3"/>
  <c r="M13" i="3"/>
  <c r="L36" i="3"/>
  <c r="M55" i="7"/>
  <c r="N16" i="3"/>
  <c r="M39" i="3"/>
  <c r="O62" i="7"/>
  <c r="O27" i="7"/>
  <c r="O18" i="7"/>
  <c r="AD31" i="4"/>
  <c r="AI31" i="4"/>
  <c r="AD64" i="5" s="1"/>
  <c r="O6" i="5"/>
  <c r="AB16" i="4"/>
  <c r="AH16" i="4"/>
  <c r="AC16" i="4"/>
  <c r="L42" i="5"/>
  <c r="M19" i="5"/>
  <c r="O17" i="4"/>
  <c r="Q17" i="4"/>
  <c r="Z17" i="4"/>
  <c r="P89" i="3"/>
  <c r="O78" i="7"/>
  <c r="P80" i="7"/>
  <c r="P82" i="7" s="1"/>
  <c r="P84" i="7" s="1"/>
  <c r="N40" i="7"/>
  <c r="O86" i="5"/>
  <c r="N23" i="3"/>
  <c r="M46" i="3"/>
  <c r="K71" i="7"/>
  <c r="K58" i="7"/>
  <c r="K60" i="7"/>
  <c r="N78" i="3"/>
  <c r="O78" i="3" s="1"/>
  <c r="L37" i="5"/>
  <c r="M14" i="5"/>
  <c r="S16" i="2"/>
  <c r="M40" i="3"/>
  <c r="N17" i="3"/>
  <c r="N75" i="3"/>
  <c r="O75" i="3" s="1"/>
  <c r="M51" i="7"/>
  <c r="AF15" i="4"/>
  <c r="AG14" i="4"/>
  <c r="O89" i="3"/>
  <c r="O48" i="7" l="1"/>
  <c r="O68" i="7"/>
  <c r="J16" i="2"/>
  <c r="K16" i="2" s="1"/>
  <c r="M45" i="3"/>
  <c r="N22" i="3"/>
  <c r="N17" i="5"/>
  <c r="M40" i="5"/>
  <c r="L71" i="7"/>
  <c r="L60" i="7"/>
  <c r="L58" i="7"/>
  <c r="M33" i="5"/>
  <c r="N10" i="5"/>
  <c r="N21" i="5"/>
  <c r="M44" i="5"/>
  <c r="M41" i="5"/>
  <c r="N18" i="5"/>
  <c r="N24" i="3"/>
  <c r="M47" i="3"/>
  <c r="N40" i="3"/>
  <c r="O17" i="3"/>
  <c r="P60" i="5"/>
  <c r="P71" i="5" s="1"/>
  <c r="P58" i="5"/>
  <c r="P69" i="5" s="1"/>
  <c r="P57" i="5"/>
  <c r="P68" i="5" s="1"/>
  <c r="P59" i="5"/>
  <c r="P70" i="5" s="1"/>
  <c r="O29" i="5"/>
  <c r="O53" i="5" s="1"/>
  <c r="O22" i="7"/>
  <c r="O88" i="5"/>
  <c r="O29" i="7" s="1"/>
  <c r="O67" i="7"/>
  <c r="O20" i="7"/>
  <c r="O89" i="5"/>
  <c r="O46" i="7" s="1"/>
  <c r="M57" i="7"/>
  <c r="M70" i="7"/>
  <c r="M59" i="7"/>
  <c r="N12" i="3"/>
  <c r="M35" i="3"/>
  <c r="N48" i="7"/>
  <c r="N68" i="7"/>
  <c r="J15" i="2"/>
  <c r="K15" i="2" s="1"/>
  <c r="Z18" i="2"/>
  <c r="O18" i="2"/>
  <c r="Q18" i="2"/>
  <c r="M33" i="3"/>
  <c r="N10" i="3"/>
  <c r="M50" i="7"/>
  <c r="AF15" i="2"/>
  <c r="AG14" i="2"/>
  <c r="M36" i="5"/>
  <c r="N13" i="5"/>
  <c r="P62" i="7"/>
  <c r="P27" i="7"/>
  <c r="P18" i="7"/>
  <c r="AE17" i="4"/>
  <c r="AI32" i="4"/>
  <c r="AE64" i="5" s="1"/>
  <c r="P6" i="5"/>
  <c r="AD32" i="4"/>
  <c r="AC17" i="4"/>
  <c r="AH17" i="4"/>
  <c r="AB17" i="4"/>
  <c r="N55" i="7"/>
  <c r="N39" i="3"/>
  <c r="O16" i="3"/>
  <c r="P77" i="5"/>
  <c r="D20" i="2"/>
  <c r="E19" i="2"/>
  <c r="M19" i="2"/>
  <c r="N20" i="3"/>
  <c r="M43" i="3"/>
  <c r="Q81" i="7"/>
  <c r="P79" i="7"/>
  <c r="P83" i="7"/>
  <c r="P85" i="7" s="1"/>
  <c r="N38" i="3"/>
  <c r="O15" i="3"/>
  <c r="N11" i="3"/>
  <c r="M34" i="3"/>
  <c r="P75" i="3"/>
  <c r="O24" i="7"/>
  <c r="O90" i="5"/>
  <c r="N46" i="3"/>
  <c r="O23" i="3"/>
  <c r="M37" i="5"/>
  <c r="N14" i="5"/>
  <c r="O40" i="7"/>
  <c r="P86" i="5"/>
  <c r="R17" i="4"/>
  <c r="P5" i="5" s="1"/>
  <c r="M45" i="5"/>
  <c r="N22" i="5"/>
  <c r="M48" i="3"/>
  <c r="N25" i="3"/>
  <c r="N24" i="5"/>
  <c r="M47" i="5"/>
  <c r="Q18" i="4"/>
  <c r="R18" i="4" s="1"/>
  <c r="Q5" i="5" s="1"/>
  <c r="O18" i="4"/>
  <c r="Z18" i="4"/>
  <c r="P61" i="7"/>
  <c r="P26" i="7"/>
  <c r="P17" i="7"/>
  <c r="P6" i="3"/>
  <c r="AD32" i="2"/>
  <c r="AI32" i="2"/>
  <c r="AE64" i="3" s="1"/>
  <c r="AH17" i="2"/>
  <c r="AC17" i="2"/>
  <c r="AB17" i="2"/>
  <c r="M34" i="5"/>
  <c r="N11" i="5"/>
  <c r="AE16" i="4"/>
  <c r="O66" i="7"/>
  <c r="O19" i="7"/>
  <c r="O21" i="7"/>
  <c r="O106" i="3"/>
  <c r="O28" i="7" s="1"/>
  <c r="O107" i="3"/>
  <c r="O45" i="7" s="1"/>
  <c r="M37" i="3"/>
  <c r="N14" i="3"/>
  <c r="D20" i="4"/>
  <c r="E19" i="4"/>
  <c r="M19" i="4"/>
  <c r="M46" i="5"/>
  <c r="N23" i="5"/>
  <c r="R17" i="2"/>
  <c r="P5" i="3" s="1"/>
  <c r="T12" i="7"/>
  <c r="F22" i="4"/>
  <c r="H21" i="4"/>
  <c r="T36" i="7"/>
  <c r="O77" i="3"/>
  <c r="N20" i="5"/>
  <c r="M43" i="5"/>
  <c r="R11" i="7"/>
  <c r="F20" i="2"/>
  <c r="H19" i="2"/>
  <c r="R35" i="7"/>
  <c r="P76" i="5"/>
  <c r="N51" i="7"/>
  <c r="AG15" i="4"/>
  <c r="P78" i="3"/>
  <c r="P78" i="7"/>
  <c r="Q80" i="7"/>
  <c r="M42" i="5"/>
  <c r="N19" i="5"/>
  <c r="M36" i="3"/>
  <c r="N13" i="3"/>
  <c r="O23" i="7"/>
  <c r="O108" i="3"/>
  <c r="P39" i="7"/>
  <c r="Q104" i="3"/>
  <c r="M38" i="5"/>
  <c r="N15" i="5"/>
  <c r="O75" i="5"/>
  <c r="N41" i="3"/>
  <c r="O18" i="3"/>
  <c r="P58" i="3"/>
  <c r="P69" i="3" s="1"/>
  <c r="O29" i="3"/>
  <c r="O53" i="3" s="1"/>
  <c r="P59" i="3"/>
  <c r="P70" i="3" s="1"/>
  <c r="P57" i="3"/>
  <c r="P68" i="3" s="1"/>
  <c r="P60" i="3"/>
  <c r="P71" i="3" s="1"/>
  <c r="M56" i="7"/>
  <c r="N16" i="5"/>
  <c r="M39" i="5"/>
  <c r="N12" i="5"/>
  <c r="M35" i="5"/>
  <c r="M44" i="3"/>
  <c r="N21" i="3"/>
  <c r="N8" i="7"/>
  <c r="N10" i="7"/>
  <c r="Q86" i="3"/>
  <c r="P92" i="3"/>
  <c r="N25" i="5"/>
  <c r="M48" i="5"/>
  <c r="N19" i="3"/>
  <c r="M42" i="3"/>
  <c r="O76" i="3"/>
  <c r="O78" i="5"/>
  <c r="P78" i="5" s="1"/>
  <c r="P93" i="3"/>
  <c r="Q87" i="3"/>
  <c r="P90" i="3"/>
  <c r="M7" i="7"/>
  <c r="M9" i="7"/>
  <c r="N42" i="5" l="1"/>
  <c r="O19" i="5"/>
  <c r="N45" i="5"/>
  <c r="O22" i="5"/>
  <c r="D21" i="2"/>
  <c r="M20" i="2"/>
  <c r="E20" i="2"/>
  <c r="Q61" i="7"/>
  <c r="Q17" i="7"/>
  <c r="Q26" i="7"/>
  <c r="Q6" i="3"/>
  <c r="AD33" i="2"/>
  <c r="AI33" i="2"/>
  <c r="AF64" i="3" s="1"/>
  <c r="AE18" i="2"/>
  <c r="AH18" i="2"/>
  <c r="AC18" i="2"/>
  <c r="AB18" i="2"/>
  <c r="P23" i="7"/>
  <c r="P108" i="3"/>
  <c r="N48" i="5"/>
  <c r="O25" i="5"/>
  <c r="N35" i="5"/>
  <c r="O12" i="5"/>
  <c r="D21" i="4"/>
  <c r="E20" i="4"/>
  <c r="M20" i="4"/>
  <c r="O49" i="7"/>
  <c r="O69" i="7"/>
  <c r="J16" i="4"/>
  <c r="K16" i="4" s="1"/>
  <c r="P29" i="3"/>
  <c r="P53" i="3" s="1"/>
  <c r="Q59" i="3"/>
  <c r="Q70" i="3" s="1"/>
  <c r="Q60" i="3"/>
  <c r="Q71" i="3" s="1"/>
  <c r="Q57" i="3"/>
  <c r="Q68" i="3" s="1"/>
  <c r="Q58" i="3"/>
  <c r="Q69" i="3" s="1"/>
  <c r="Q62" i="7"/>
  <c r="Q27" i="7"/>
  <c r="Q18" i="7"/>
  <c r="AD33" i="4"/>
  <c r="AI33" i="4"/>
  <c r="AF64" i="5" s="1"/>
  <c r="Q6" i="5"/>
  <c r="AE18" i="4"/>
  <c r="AC18" i="4"/>
  <c r="AH18" i="4"/>
  <c r="AB18" i="4"/>
  <c r="S17" i="2"/>
  <c r="N7" i="7"/>
  <c r="N9" i="7"/>
  <c r="O17" i="5"/>
  <c r="N40" i="5"/>
  <c r="U12" i="7"/>
  <c r="F23" i="4"/>
  <c r="H22" i="4"/>
  <c r="U36" i="7"/>
  <c r="N37" i="3"/>
  <c r="O14" i="3"/>
  <c r="N34" i="5"/>
  <c r="O11" i="5"/>
  <c r="O55" i="7"/>
  <c r="O39" i="3"/>
  <c r="P16" i="3"/>
  <c r="N50" i="7"/>
  <c r="AF16" i="2"/>
  <c r="AG15" i="2"/>
  <c r="O21" i="5"/>
  <c r="N44" i="5"/>
  <c r="N45" i="3"/>
  <c r="O22" i="3"/>
  <c r="Q92" i="3"/>
  <c r="R86" i="3"/>
  <c r="N56" i="7"/>
  <c r="N39" i="5"/>
  <c r="O16" i="5"/>
  <c r="S11" i="7"/>
  <c r="H20" i="2"/>
  <c r="F21" i="2"/>
  <c r="S35" i="7"/>
  <c r="AE17" i="2"/>
  <c r="P40" i="7"/>
  <c r="Q86" i="5"/>
  <c r="Q79" i="7"/>
  <c r="R81" i="7"/>
  <c r="Q83" i="7"/>
  <c r="Q85" i="7" s="1"/>
  <c r="N70" i="7"/>
  <c r="N59" i="7"/>
  <c r="N57" i="7"/>
  <c r="P69" i="7"/>
  <c r="P49" i="7"/>
  <c r="J17" i="4"/>
  <c r="K17" i="4" s="1"/>
  <c r="O40" i="3"/>
  <c r="P17" i="3"/>
  <c r="N33" i="5"/>
  <c r="O10" i="5"/>
  <c r="S17" i="4"/>
  <c r="S18" i="4" s="1"/>
  <c r="S19" i="4" s="1"/>
  <c r="Q93" i="3"/>
  <c r="R87" i="3"/>
  <c r="Q90" i="3"/>
  <c r="P18" i="3"/>
  <c r="O41" i="3"/>
  <c r="Q39" i="7"/>
  <c r="R104" i="3"/>
  <c r="Q78" i="3"/>
  <c r="N33" i="3"/>
  <c r="O10" i="3"/>
  <c r="O7" i="7"/>
  <c r="O9" i="7"/>
  <c r="N38" i="5"/>
  <c r="O15" i="5"/>
  <c r="M71" i="7"/>
  <c r="M60" i="7"/>
  <c r="M58" i="7"/>
  <c r="R80" i="7"/>
  <c r="Q78" i="7"/>
  <c r="P76" i="3"/>
  <c r="Q76" i="3" s="1"/>
  <c r="Q89" i="3"/>
  <c r="N46" i="5"/>
  <c r="O23" i="5"/>
  <c r="N47" i="5"/>
  <c r="O24" i="5"/>
  <c r="N37" i="5"/>
  <c r="O14" i="5"/>
  <c r="N43" i="3"/>
  <c r="O20" i="3"/>
  <c r="P67" i="7"/>
  <c r="P22" i="7"/>
  <c r="P20" i="7"/>
  <c r="P88" i="5"/>
  <c r="P29" i="7" s="1"/>
  <c r="P89" i="5"/>
  <c r="P46" i="7" s="1"/>
  <c r="N35" i="3"/>
  <c r="O12" i="3"/>
  <c r="N44" i="3"/>
  <c r="O21" i="3"/>
  <c r="Q82" i="7"/>
  <c r="Q84" i="7" s="1"/>
  <c r="N36" i="3"/>
  <c r="O13" i="3"/>
  <c r="AF16" i="4"/>
  <c r="N43" i="5"/>
  <c r="O20" i="5"/>
  <c r="N48" i="3"/>
  <c r="O25" i="3"/>
  <c r="N34" i="3"/>
  <c r="O11" i="3"/>
  <c r="Q59" i="5"/>
  <c r="Q70" i="5" s="1"/>
  <c r="Q57" i="5"/>
  <c r="Q68" i="5" s="1"/>
  <c r="P29" i="5"/>
  <c r="P53" i="5" s="1"/>
  <c r="Q60" i="5"/>
  <c r="Q71" i="5" s="1"/>
  <c r="Q58" i="5"/>
  <c r="Q69" i="5" s="1"/>
  <c r="R18" i="2"/>
  <c r="Q5" i="3" s="1"/>
  <c r="N47" i="3"/>
  <c r="O24" i="3"/>
  <c r="R82" i="7"/>
  <c r="R84" i="7" s="1"/>
  <c r="R89" i="3"/>
  <c r="Z19" i="2"/>
  <c r="Q19" i="2"/>
  <c r="R19" i="2" s="1"/>
  <c r="R5" i="3" s="1"/>
  <c r="O19" i="2"/>
  <c r="N42" i="3"/>
  <c r="O19" i="3"/>
  <c r="P75" i="5"/>
  <c r="Q75" i="5" s="1"/>
  <c r="P77" i="3"/>
  <c r="Q77" i="3" s="1"/>
  <c r="O19" i="4"/>
  <c r="Z19" i="4"/>
  <c r="Q19" i="4"/>
  <c r="R19" i="4" s="1"/>
  <c r="R5" i="5" s="1"/>
  <c r="P19" i="7"/>
  <c r="P66" i="7"/>
  <c r="P21" i="7"/>
  <c r="P106" i="3"/>
  <c r="P28" i="7" s="1"/>
  <c r="P107" i="3"/>
  <c r="P45" i="7" s="1"/>
  <c r="P23" i="3"/>
  <c r="O46" i="3"/>
  <c r="P15" i="3"/>
  <c r="O38" i="3"/>
  <c r="P90" i="5"/>
  <c r="P24" i="7"/>
  <c r="N36" i="5"/>
  <c r="O13" i="5"/>
  <c r="N41" i="5"/>
  <c r="O18" i="5"/>
  <c r="P24" i="5" l="1"/>
  <c r="O47" i="5"/>
  <c r="P10" i="3"/>
  <c r="O33" i="3"/>
  <c r="P8" i="7"/>
  <c r="P10" i="7"/>
  <c r="O44" i="5"/>
  <c r="P21" i="5"/>
  <c r="O41" i="5"/>
  <c r="P18" i="5"/>
  <c r="R27" i="7"/>
  <c r="R18" i="7"/>
  <c r="R62" i="7"/>
  <c r="AD34" i="4"/>
  <c r="R6" i="5"/>
  <c r="AI34" i="4"/>
  <c r="AG64" i="5" s="1"/>
  <c r="AC19" i="4"/>
  <c r="AH19" i="4"/>
  <c r="AB19" i="4"/>
  <c r="R61" i="7"/>
  <c r="R17" i="7"/>
  <c r="R26" i="7"/>
  <c r="R6" i="3"/>
  <c r="AI34" i="2"/>
  <c r="AG64" i="3" s="1"/>
  <c r="AD34" i="2"/>
  <c r="AE19" i="2"/>
  <c r="AB19" i="2"/>
  <c r="AC19" i="2"/>
  <c r="AH19" i="2"/>
  <c r="P20" i="5"/>
  <c r="O43" i="5"/>
  <c r="O35" i="3"/>
  <c r="P12" i="3"/>
  <c r="O70" i="7"/>
  <c r="O59" i="7"/>
  <c r="O57" i="7"/>
  <c r="V12" i="7"/>
  <c r="F24" i="4"/>
  <c r="H23" i="4"/>
  <c r="V36" i="7"/>
  <c r="Q67" i="7"/>
  <c r="Q22" i="7"/>
  <c r="Q20" i="7"/>
  <c r="Q88" i="5"/>
  <c r="Q29" i="7" s="1"/>
  <c r="Q89" i="5"/>
  <c r="Q46" i="7" s="1"/>
  <c r="O35" i="5"/>
  <c r="P12" i="5"/>
  <c r="Q23" i="7"/>
  <c r="Q108" i="3"/>
  <c r="O56" i="7"/>
  <c r="P16" i="5"/>
  <c r="O39" i="5"/>
  <c r="O40" i="5"/>
  <c r="P17" i="5"/>
  <c r="O50" i="7"/>
  <c r="AG16" i="2"/>
  <c r="AF17" i="2"/>
  <c r="O48" i="3"/>
  <c r="P25" i="3"/>
  <c r="O44" i="3"/>
  <c r="P21" i="3"/>
  <c r="T11" i="7"/>
  <c r="F22" i="2"/>
  <c r="H21" i="2"/>
  <c r="T35" i="7"/>
  <c r="P22" i="3"/>
  <c r="O45" i="3"/>
  <c r="P46" i="3"/>
  <c r="Q23" i="3"/>
  <c r="O37" i="5"/>
  <c r="P14" i="5"/>
  <c r="Q78" i="5"/>
  <c r="P41" i="3"/>
  <c r="Q18" i="3"/>
  <c r="P40" i="3"/>
  <c r="Q17" i="3"/>
  <c r="S82" i="7"/>
  <c r="S84" i="7" s="1"/>
  <c r="R58" i="5"/>
  <c r="R69" i="5" s="1"/>
  <c r="R60" i="5"/>
  <c r="R71" i="5" s="1"/>
  <c r="Q29" i="5"/>
  <c r="Q53" i="5" s="1"/>
  <c r="R59" i="5"/>
  <c r="R70" i="5" s="1"/>
  <c r="R57" i="5"/>
  <c r="R68" i="5" s="1"/>
  <c r="R59" i="3"/>
  <c r="R70" i="3" s="1"/>
  <c r="R60" i="3"/>
  <c r="R71" i="3" s="1"/>
  <c r="R58" i="3"/>
  <c r="R69" i="3" s="1"/>
  <c r="R57" i="3"/>
  <c r="R68" i="3" s="1"/>
  <c r="Q29" i="3"/>
  <c r="Q53" i="3" s="1"/>
  <c r="O51" i="7"/>
  <c r="AF17" i="4"/>
  <c r="AG16" i="4"/>
  <c r="S81" i="7"/>
  <c r="R79" i="7"/>
  <c r="R83" i="7"/>
  <c r="R85" i="7" s="1"/>
  <c r="P11" i="5"/>
  <c r="O34" i="5"/>
  <c r="Q90" i="5"/>
  <c r="Q24" i="7"/>
  <c r="O20" i="4"/>
  <c r="Q20" i="4"/>
  <c r="Z20" i="4"/>
  <c r="O48" i="5"/>
  <c r="P25" i="5"/>
  <c r="Q48" i="7"/>
  <c r="Q68" i="7"/>
  <c r="J18" i="2"/>
  <c r="K18" i="2" s="1"/>
  <c r="Z20" i="2"/>
  <c r="Q20" i="2"/>
  <c r="O20" i="2"/>
  <c r="R75" i="5"/>
  <c r="Q69" i="7"/>
  <c r="Q49" i="7"/>
  <c r="J18" i="4"/>
  <c r="K18" i="4" s="1"/>
  <c r="E21" i="2"/>
  <c r="D22" i="2"/>
  <c r="M21" i="2"/>
  <c r="S80" i="7"/>
  <c r="R78" i="7"/>
  <c r="S87" i="3"/>
  <c r="R93" i="3"/>
  <c r="R90" i="3"/>
  <c r="P19" i="3"/>
  <c r="O42" i="3"/>
  <c r="O47" i="3"/>
  <c r="P24" i="3"/>
  <c r="P11" i="3"/>
  <c r="O34" i="3"/>
  <c r="Q40" i="7"/>
  <c r="R86" i="5"/>
  <c r="N71" i="7"/>
  <c r="N58" i="7"/>
  <c r="N60" i="7"/>
  <c r="P14" i="3"/>
  <c r="O37" i="3"/>
  <c r="D22" i="4"/>
  <c r="E21" i="4"/>
  <c r="M21" i="4"/>
  <c r="O45" i="5"/>
  <c r="P22" i="5"/>
  <c r="O36" i="3"/>
  <c r="P13" i="3"/>
  <c r="R39" i="7"/>
  <c r="S104" i="3"/>
  <c r="Q75" i="3"/>
  <c r="R75" i="3" s="1"/>
  <c r="P48" i="7"/>
  <c r="P68" i="7"/>
  <c r="J17" i="2"/>
  <c r="K17" i="2" s="1"/>
  <c r="R92" i="3"/>
  <c r="S86" i="3"/>
  <c r="Q77" i="5"/>
  <c r="R77" i="5" s="1"/>
  <c r="Q76" i="5"/>
  <c r="R76" i="5" s="1"/>
  <c r="P19" i="5"/>
  <c r="O42" i="5"/>
  <c r="O36" i="5"/>
  <c r="P13" i="5"/>
  <c r="P23" i="5"/>
  <c r="O46" i="5"/>
  <c r="R78" i="3"/>
  <c r="P38" i="3"/>
  <c r="Q15" i="3"/>
  <c r="P20" i="3"/>
  <c r="O43" i="3"/>
  <c r="P15" i="5"/>
  <c r="O38" i="5"/>
  <c r="O33" i="5"/>
  <c r="P10" i="5"/>
  <c r="P55" i="7"/>
  <c r="P39" i="3"/>
  <c r="Q16" i="3"/>
  <c r="S18" i="2"/>
  <c r="S19" i="2" s="1"/>
  <c r="O8" i="7"/>
  <c r="O10" i="7"/>
  <c r="Q66" i="7"/>
  <c r="Q21" i="7"/>
  <c r="Q19" i="7"/>
  <c r="Q106" i="3"/>
  <c r="Q28" i="7" s="1"/>
  <c r="Q107" i="3"/>
  <c r="Q45" i="7" s="1"/>
  <c r="P36" i="5" l="1"/>
  <c r="Q13" i="5"/>
  <c r="P44" i="5"/>
  <c r="Q21" i="5"/>
  <c r="P7" i="7"/>
  <c r="P9" i="7"/>
  <c r="S61" i="7"/>
  <c r="S17" i="7"/>
  <c r="S26" i="7"/>
  <c r="AI35" i="2"/>
  <c r="AH64" i="3" s="1"/>
  <c r="AD35" i="2"/>
  <c r="AE20" i="2"/>
  <c r="S6" i="3"/>
  <c r="AH20" i="2"/>
  <c r="AC20" i="2"/>
  <c r="AB20" i="2"/>
  <c r="W12" i="7"/>
  <c r="F25" i="4"/>
  <c r="H24" i="4"/>
  <c r="W36" i="7"/>
  <c r="P42" i="3"/>
  <c r="Q19" i="3"/>
  <c r="Q7" i="7"/>
  <c r="Q9" i="7"/>
  <c r="P51" i="7"/>
  <c r="AF18" i="4"/>
  <c r="AG17" i="4"/>
  <c r="R17" i="3"/>
  <c r="Q40" i="3"/>
  <c r="Q20" i="5"/>
  <c r="P43" i="5"/>
  <c r="Q55" i="7"/>
  <c r="Q39" i="3"/>
  <c r="R16" i="3"/>
  <c r="P43" i="3"/>
  <c r="Q20" i="3"/>
  <c r="O21" i="4"/>
  <c r="Z21" i="4"/>
  <c r="Q21" i="4"/>
  <c r="R21" i="4" s="1"/>
  <c r="T5" i="5" s="1"/>
  <c r="R40" i="7"/>
  <c r="S86" i="5"/>
  <c r="Q8" i="7"/>
  <c r="Q10" i="7"/>
  <c r="P48" i="3"/>
  <c r="Q25" i="3"/>
  <c r="O71" i="7"/>
  <c r="O60" i="7"/>
  <c r="O58" i="7"/>
  <c r="S60" i="3"/>
  <c r="S71" i="3" s="1"/>
  <c r="S59" i="3"/>
  <c r="S70" i="3" s="1"/>
  <c r="S57" i="3"/>
  <c r="S68" i="3" s="1"/>
  <c r="R29" i="3"/>
  <c r="R53" i="3" s="1"/>
  <c r="S58" i="3"/>
  <c r="S69" i="3" s="1"/>
  <c r="R18" i="3"/>
  <c r="Q41" i="3"/>
  <c r="P45" i="3"/>
  <c r="Q22" i="3"/>
  <c r="P56" i="7"/>
  <c r="P39" i="5"/>
  <c r="Q16" i="5"/>
  <c r="R23" i="7"/>
  <c r="R108" i="3"/>
  <c r="R66" i="7"/>
  <c r="R21" i="7"/>
  <c r="R19" i="7"/>
  <c r="R106" i="3"/>
  <c r="R28" i="7" s="1"/>
  <c r="R107" i="3"/>
  <c r="R45" i="7" s="1"/>
  <c r="R22" i="7"/>
  <c r="R67" i="7"/>
  <c r="R20" i="7"/>
  <c r="R88" i="5"/>
  <c r="R29" i="7" s="1"/>
  <c r="R89" i="5"/>
  <c r="R46" i="7" s="1"/>
  <c r="P45" i="5"/>
  <c r="Q22" i="5"/>
  <c r="D23" i="2"/>
  <c r="M22" i="2"/>
  <c r="E22" i="2"/>
  <c r="P50" i="7"/>
  <c r="AF18" i="2"/>
  <c r="AG17" i="2"/>
  <c r="P33" i="5"/>
  <c r="Q10" i="5"/>
  <c r="S77" i="5"/>
  <c r="Q11" i="3"/>
  <c r="P34" i="3"/>
  <c r="R78" i="5"/>
  <c r="T82" i="7"/>
  <c r="T84" i="7" s="1"/>
  <c r="R76" i="3"/>
  <c r="S76" i="3" s="1"/>
  <c r="R68" i="7"/>
  <c r="R48" i="7"/>
  <c r="J19" i="2"/>
  <c r="K19" i="2" s="1"/>
  <c r="S57" i="5"/>
  <c r="S68" i="5" s="1"/>
  <c r="S59" i="5"/>
  <c r="S70" i="5" s="1"/>
  <c r="R29" i="5"/>
  <c r="R53" i="5" s="1"/>
  <c r="S58" i="5"/>
  <c r="S69" i="5" s="1"/>
  <c r="S60" i="5"/>
  <c r="S71" i="5" s="1"/>
  <c r="P33" i="3"/>
  <c r="Q10" i="3"/>
  <c r="Q46" i="3"/>
  <c r="R23" i="3"/>
  <c r="P44" i="3"/>
  <c r="Q21" i="3"/>
  <c r="P40" i="5"/>
  <c r="Q17" i="5"/>
  <c r="P70" i="7"/>
  <c r="P59" i="7"/>
  <c r="P57" i="7"/>
  <c r="P42" i="5"/>
  <c r="Q19" i="5"/>
  <c r="S75" i="3"/>
  <c r="R77" i="3"/>
  <c r="S77" i="3" s="1"/>
  <c r="S76" i="5"/>
  <c r="S39" i="7"/>
  <c r="T104" i="3"/>
  <c r="P48" i="5"/>
  <c r="Q25" i="5"/>
  <c r="P34" i="5"/>
  <c r="Q11" i="5"/>
  <c r="S92" i="3"/>
  <c r="T86" i="3"/>
  <c r="P37" i="5"/>
  <c r="Q14" i="5"/>
  <c r="U11" i="7"/>
  <c r="H22" i="2"/>
  <c r="F23" i="2"/>
  <c r="U35" i="7"/>
  <c r="P35" i="3"/>
  <c r="Q12" i="3"/>
  <c r="R90" i="5"/>
  <c r="R24" i="7"/>
  <c r="P41" i="5"/>
  <c r="Q18" i="5"/>
  <c r="P38" i="5"/>
  <c r="Q15" i="5"/>
  <c r="Q38" i="3"/>
  <c r="R15" i="3"/>
  <c r="D23" i="4"/>
  <c r="M22" i="4"/>
  <c r="E22" i="4"/>
  <c r="T87" i="3"/>
  <c r="S93" i="3"/>
  <c r="S90" i="3"/>
  <c r="P36" i="3"/>
  <c r="Q13" i="3"/>
  <c r="P37" i="3"/>
  <c r="Q14" i="3"/>
  <c r="P47" i="3"/>
  <c r="Q24" i="3"/>
  <c r="S78" i="7"/>
  <c r="T80" i="7"/>
  <c r="S62" i="7"/>
  <c r="S27" i="7"/>
  <c r="S18" i="7"/>
  <c r="S6" i="5"/>
  <c r="AD35" i="4"/>
  <c r="AE20" i="4"/>
  <c r="AI35" i="4"/>
  <c r="AH64" i="5" s="1"/>
  <c r="AC20" i="4"/>
  <c r="AH20" i="4"/>
  <c r="AB20" i="4"/>
  <c r="P46" i="5"/>
  <c r="Q23" i="5"/>
  <c r="O21" i="2"/>
  <c r="Q21" i="2"/>
  <c r="Z21" i="2"/>
  <c r="R20" i="2"/>
  <c r="S5" i="3" s="1"/>
  <c r="R20" i="4"/>
  <c r="T81" i="7"/>
  <c r="S79" i="7"/>
  <c r="S83" i="7"/>
  <c r="S85" i="7" s="1"/>
  <c r="S89" i="3"/>
  <c r="P35" i="5"/>
  <c r="Q12" i="5"/>
  <c r="AE19" i="4"/>
  <c r="Q24" i="5"/>
  <c r="P47" i="5"/>
  <c r="U87" i="3" l="1"/>
  <c r="T93" i="3"/>
  <c r="T90" i="3"/>
  <c r="R18" i="5"/>
  <c r="Q41" i="5"/>
  <c r="Q48" i="5"/>
  <c r="R25" i="5"/>
  <c r="R46" i="3"/>
  <c r="S23" i="3"/>
  <c r="S78" i="5"/>
  <c r="S66" i="7"/>
  <c r="S21" i="7"/>
  <c r="S19" i="7"/>
  <c r="S106" i="3"/>
  <c r="S28" i="7" s="1"/>
  <c r="S107" i="3"/>
  <c r="S45" i="7" s="1"/>
  <c r="R23" i="5"/>
  <c r="Q46" i="5"/>
  <c r="R14" i="3"/>
  <c r="Q37" i="3"/>
  <c r="R7" i="7"/>
  <c r="R9" i="7"/>
  <c r="S75" i="5"/>
  <c r="Q50" i="7"/>
  <c r="AG18" i="2"/>
  <c r="AF19" i="2"/>
  <c r="S23" i="7"/>
  <c r="S108" i="3"/>
  <c r="Q47" i="5"/>
  <c r="R24" i="5"/>
  <c r="R69" i="7"/>
  <c r="R49" i="7"/>
  <c r="J19" i="4"/>
  <c r="K19" i="4" s="1"/>
  <c r="R41" i="3"/>
  <c r="S18" i="3"/>
  <c r="T27" i="7"/>
  <c r="T62" i="7"/>
  <c r="T18" i="7"/>
  <c r="T6" i="5"/>
  <c r="AI36" i="4"/>
  <c r="AI64" i="5" s="1"/>
  <c r="AD36" i="4"/>
  <c r="AC21" i="4"/>
  <c r="AH21" i="4"/>
  <c r="AB21" i="4"/>
  <c r="Q43" i="5"/>
  <c r="R20" i="5"/>
  <c r="Q42" i="3"/>
  <c r="R19" i="3"/>
  <c r="T60" i="3"/>
  <c r="T71" i="3" s="1"/>
  <c r="T57" i="3"/>
  <c r="T68" i="3" s="1"/>
  <c r="S29" i="3"/>
  <c r="S53" i="3" s="1"/>
  <c r="T59" i="3"/>
  <c r="T70" i="3" s="1"/>
  <c r="T58" i="3"/>
  <c r="T69" i="3" s="1"/>
  <c r="O22" i="4"/>
  <c r="Z22" i="4"/>
  <c r="Q22" i="4"/>
  <c r="R22" i="4" s="1"/>
  <c r="U5" i="5" s="1"/>
  <c r="R14" i="5"/>
  <c r="Q37" i="5"/>
  <c r="T39" i="7"/>
  <c r="U104" i="3"/>
  <c r="R10" i="3"/>
  <c r="Q33" i="3"/>
  <c r="T79" i="7"/>
  <c r="U81" i="7"/>
  <c r="T83" i="7"/>
  <c r="T85" i="7" s="1"/>
  <c r="S67" i="7"/>
  <c r="S20" i="7"/>
  <c r="S22" i="7"/>
  <c r="S88" i="5"/>
  <c r="S29" i="7" s="1"/>
  <c r="S89" i="5"/>
  <c r="S46" i="7" s="1"/>
  <c r="R13" i="3"/>
  <c r="Q36" i="3"/>
  <c r="D24" i="4"/>
  <c r="E23" i="4"/>
  <c r="M23" i="4"/>
  <c r="Q34" i="3"/>
  <c r="R11" i="3"/>
  <c r="R25" i="3"/>
  <c r="Q48" i="3"/>
  <c r="R40" i="3"/>
  <c r="S17" i="3"/>
  <c r="S68" i="7"/>
  <c r="S48" i="7"/>
  <c r="J20" i="2"/>
  <c r="K20" i="2" s="1"/>
  <c r="Q44" i="5"/>
  <c r="R21" i="5"/>
  <c r="Z22" i="2"/>
  <c r="Q22" i="2"/>
  <c r="R22" i="2" s="1"/>
  <c r="U5" i="3" s="1"/>
  <c r="O22" i="2"/>
  <c r="Q56" i="7"/>
  <c r="Q39" i="5"/>
  <c r="R16" i="5"/>
  <c r="Q43" i="3"/>
  <c r="R20" i="3"/>
  <c r="S90" i="5"/>
  <c r="S24" i="7"/>
  <c r="U80" i="7"/>
  <c r="T78" i="7"/>
  <c r="S20" i="2"/>
  <c r="S78" i="3"/>
  <c r="D24" i="2"/>
  <c r="E23" i="2"/>
  <c r="M23" i="2"/>
  <c r="P58" i="7"/>
  <c r="P60" i="7"/>
  <c r="P71" i="7"/>
  <c r="T58" i="5"/>
  <c r="T69" i="5" s="1"/>
  <c r="T59" i="5"/>
  <c r="T70" i="5" s="1"/>
  <c r="T57" i="5"/>
  <c r="T68" i="5" s="1"/>
  <c r="S29" i="5"/>
  <c r="S53" i="5" s="1"/>
  <c r="T60" i="5"/>
  <c r="T71" i="5" s="1"/>
  <c r="R38" i="3"/>
  <c r="S15" i="3"/>
  <c r="Q35" i="3"/>
  <c r="R12" i="3"/>
  <c r="U86" i="3"/>
  <c r="U89" i="3" s="1"/>
  <c r="T92" i="3"/>
  <c r="T76" i="5"/>
  <c r="Q40" i="5"/>
  <c r="R17" i="5"/>
  <c r="Q35" i="5"/>
  <c r="R12" i="5"/>
  <c r="T61" i="7"/>
  <c r="T26" i="7"/>
  <c r="T17" i="7"/>
  <c r="AD36" i="2"/>
  <c r="T6" i="3"/>
  <c r="AI36" i="2"/>
  <c r="AI64" i="3" s="1"/>
  <c r="AH21" i="2"/>
  <c r="AC21" i="2"/>
  <c r="AB21" i="2"/>
  <c r="R15" i="5"/>
  <c r="Q38" i="5"/>
  <c r="Q34" i="5"/>
  <c r="R11" i="5"/>
  <c r="R21" i="3"/>
  <c r="Q44" i="3"/>
  <c r="T89" i="3"/>
  <c r="R10" i="5"/>
  <c r="Q33" i="5"/>
  <c r="R22" i="5"/>
  <c r="Q45" i="5"/>
  <c r="R55" i="7"/>
  <c r="R39" i="3"/>
  <c r="S16" i="3"/>
  <c r="Q51" i="7"/>
  <c r="AF19" i="4"/>
  <c r="AG18" i="4"/>
  <c r="X12" i="7"/>
  <c r="F26" i="4"/>
  <c r="H25" i="4"/>
  <c r="X36" i="7"/>
  <c r="Q36" i="5"/>
  <c r="R13" i="5"/>
  <c r="S5" i="5"/>
  <c r="S20" i="4"/>
  <c r="S21" i="4" s="1"/>
  <c r="S22" i="4" s="1"/>
  <c r="R21" i="2"/>
  <c r="T5" i="3" s="1"/>
  <c r="S69" i="7"/>
  <c r="S49" i="7"/>
  <c r="J20" i="4"/>
  <c r="K20" i="4" s="1"/>
  <c r="Q47" i="3"/>
  <c r="R24" i="3"/>
  <c r="V11" i="7"/>
  <c r="F24" i="2"/>
  <c r="H23" i="2"/>
  <c r="V35" i="7"/>
  <c r="Q42" i="5"/>
  <c r="R19" i="5"/>
  <c r="R22" i="3"/>
  <c r="Q45" i="3"/>
  <c r="T86" i="5"/>
  <c r="S40" i="7"/>
  <c r="Q70" i="7"/>
  <c r="Q57" i="7"/>
  <c r="Q59" i="7"/>
  <c r="Q23" i="2" l="1"/>
  <c r="Z23" i="2"/>
  <c r="O23" i="2"/>
  <c r="R45" i="3"/>
  <c r="S22" i="3"/>
  <c r="S8" i="7"/>
  <c r="S10" i="7"/>
  <c r="R40" i="5"/>
  <c r="S17" i="5"/>
  <c r="R45" i="5"/>
  <c r="S22" i="5"/>
  <c r="S21" i="2"/>
  <c r="S22" i="2" s="1"/>
  <c r="Q58" i="7"/>
  <c r="Q60" i="7"/>
  <c r="Q71" i="7"/>
  <c r="R34" i="3"/>
  <c r="S11" i="3"/>
  <c r="S10" i="3"/>
  <c r="R33" i="3"/>
  <c r="R47" i="5"/>
  <c r="S24" i="5"/>
  <c r="U76" i="5"/>
  <c r="U39" i="7"/>
  <c r="V104" i="3"/>
  <c r="T67" i="7"/>
  <c r="T20" i="7"/>
  <c r="T88" i="5"/>
  <c r="T29" i="7" s="1"/>
  <c r="T22" i="7"/>
  <c r="T89" i="5"/>
  <c r="T46" i="7" s="1"/>
  <c r="S7" i="7"/>
  <c r="S9" i="7"/>
  <c r="T40" i="7"/>
  <c r="U86" i="5"/>
  <c r="R51" i="7"/>
  <c r="AF20" i="4"/>
  <c r="AG19" i="4"/>
  <c r="R33" i="5"/>
  <c r="S10" i="5"/>
  <c r="S15" i="5"/>
  <c r="R38" i="5"/>
  <c r="V80" i="7"/>
  <c r="U78" i="7"/>
  <c r="Z23" i="4"/>
  <c r="O23" i="4"/>
  <c r="Q23" i="4"/>
  <c r="R23" i="4" s="1"/>
  <c r="V5" i="5" s="1"/>
  <c r="U59" i="5"/>
  <c r="U70" i="5" s="1"/>
  <c r="T29" i="5"/>
  <c r="T53" i="5" s="1"/>
  <c r="U57" i="5"/>
  <c r="U68" i="5" s="1"/>
  <c r="U60" i="5"/>
  <c r="U71" i="5" s="1"/>
  <c r="U58" i="5"/>
  <c r="U69" i="5" s="1"/>
  <c r="U82" i="7"/>
  <c r="U84" i="7" s="1"/>
  <c r="W11" i="7"/>
  <c r="H24" i="2"/>
  <c r="F25" i="2"/>
  <c r="W35" i="7"/>
  <c r="R47" i="3"/>
  <c r="S24" i="3"/>
  <c r="R36" i="5"/>
  <c r="S13" i="5"/>
  <c r="T66" i="7"/>
  <c r="T21" i="7"/>
  <c r="T19" i="7"/>
  <c r="T106" i="3"/>
  <c r="T28" i="7" s="1"/>
  <c r="T107" i="3"/>
  <c r="T45" i="7" s="1"/>
  <c r="U92" i="3"/>
  <c r="V86" i="3"/>
  <c r="T24" i="7"/>
  <c r="T90" i="5"/>
  <c r="S41" i="3"/>
  <c r="T18" i="3"/>
  <c r="R37" i="3"/>
  <c r="S14" i="3"/>
  <c r="T78" i="5"/>
  <c r="T23" i="7"/>
  <c r="T108" i="3"/>
  <c r="R35" i="3"/>
  <c r="S12" i="3"/>
  <c r="U61" i="7"/>
  <c r="U26" i="7"/>
  <c r="U17" i="7"/>
  <c r="AD37" i="2"/>
  <c r="U6" i="3"/>
  <c r="AI37" i="2"/>
  <c r="AJ64" i="3" s="1"/>
  <c r="AB22" i="2"/>
  <c r="AC22" i="2"/>
  <c r="AE22" i="2" s="1"/>
  <c r="AH22" i="2"/>
  <c r="T17" i="3"/>
  <c r="S40" i="3"/>
  <c r="M24" i="4"/>
  <c r="D25" i="4"/>
  <c r="E24" i="4"/>
  <c r="R37" i="5"/>
  <c r="S14" i="5"/>
  <c r="AE21" i="4"/>
  <c r="R50" i="7"/>
  <c r="AG19" i="2"/>
  <c r="AF20" i="2"/>
  <c r="S46" i="3"/>
  <c r="T23" i="3"/>
  <c r="R41" i="5"/>
  <c r="S18" i="5"/>
  <c r="S55" i="7"/>
  <c r="T16" i="3"/>
  <c r="S39" i="3"/>
  <c r="R57" i="7"/>
  <c r="R70" i="7"/>
  <c r="R59" i="7"/>
  <c r="R44" i="3"/>
  <c r="S21" i="3"/>
  <c r="U60" i="3"/>
  <c r="U71" i="3" s="1"/>
  <c r="U57" i="3"/>
  <c r="U68" i="3" s="1"/>
  <c r="U59" i="3"/>
  <c r="U70" i="3" s="1"/>
  <c r="U58" i="3"/>
  <c r="U69" i="3" s="1"/>
  <c r="T29" i="3"/>
  <c r="T53" i="3" s="1"/>
  <c r="R42" i="3"/>
  <c r="S19" i="3"/>
  <c r="R8" i="7"/>
  <c r="R10" i="7"/>
  <c r="R46" i="5"/>
  <c r="S23" i="5"/>
  <c r="R35" i="5"/>
  <c r="S12" i="5"/>
  <c r="D25" i="2"/>
  <c r="E24" i="2"/>
  <c r="M24" i="2"/>
  <c r="R43" i="3"/>
  <c r="S20" i="3"/>
  <c r="T77" i="5"/>
  <c r="U79" i="7"/>
  <c r="V81" i="7"/>
  <c r="U83" i="7"/>
  <c r="U85" i="7" s="1"/>
  <c r="T75" i="3"/>
  <c r="U75" i="3" s="1"/>
  <c r="AE21" i="2"/>
  <c r="S38" i="3"/>
  <c r="T15" i="3"/>
  <c r="T78" i="3"/>
  <c r="U78" i="3" s="1"/>
  <c r="T76" i="3"/>
  <c r="U76" i="3" s="1"/>
  <c r="R36" i="3"/>
  <c r="S13" i="3"/>
  <c r="U27" i="7"/>
  <c r="U62" i="7"/>
  <c r="U18" i="7"/>
  <c r="AD37" i="4"/>
  <c r="AE22" i="4"/>
  <c r="U6" i="5"/>
  <c r="AI37" i="4"/>
  <c r="AJ64" i="5" s="1"/>
  <c r="AC22" i="4"/>
  <c r="AH22" i="4"/>
  <c r="AB22" i="4"/>
  <c r="R48" i="5"/>
  <c r="S25" i="5"/>
  <c r="S19" i="5"/>
  <c r="R42" i="5"/>
  <c r="Y12" i="7"/>
  <c r="F27" i="4"/>
  <c r="H26" i="4"/>
  <c r="Y36" i="7"/>
  <c r="R34" i="5"/>
  <c r="S11" i="5"/>
  <c r="T77" i="3"/>
  <c r="U77" i="3" s="1"/>
  <c r="R56" i="7"/>
  <c r="R39" i="5"/>
  <c r="S16" i="5"/>
  <c r="R44" i="5"/>
  <c r="S21" i="5"/>
  <c r="R48" i="3"/>
  <c r="S25" i="3"/>
  <c r="R43" i="5"/>
  <c r="S20" i="5"/>
  <c r="T75" i="5"/>
  <c r="U75" i="5" s="1"/>
  <c r="V87" i="3"/>
  <c r="U93" i="3"/>
  <c r="U90" i="3"/>
  <c r="U68" i="7" l="1"/>
  <c r="U48" i="7"/>
  <c r="J22" i="2"/>
  <c r="K22" i="2" s="1"/>
  <c r="E25" i="2"/>
  <c r="D26" i="2"/>
  <c r="M25" i="2"/>
  <c r="T46" i="3"/>
  <c r="U23" i="3"/>
  <c r="S47" i="5"/>
  <c r="T24" i="5"/>
  <c r="S35" i="5"/>
  <c r="T12" i="5"/>
  <c r="D26" i="4"/>
  <c r="E25" i="4"/>
  <c r="M25" i="4"/>
  <c r="T13" i="5"/>
  <c r="S36" i="5"/>
  <c r="S23" i="2"/>
  <c r="S42" i="5"/>
  <c r="T19" i="5"/>
  <c r="U49" i="7"/>
  <c r="U69" i="7"/>
  <c r="J22" i="4"/>
  <c r="K22" i="4" s="1"/>
  <c r="T25" i="3"/>
  <c r="S48" i="3"/>
  <c r="T25" i="5"/>
  <c r="S48" i="5"/>
  <c r="T38" i="3"/>
  <c r="U15" i="3"/>
  <c r="W81" i="7"/>
  <c r="V79" i="7"/>
  <c r="V83" i="7"/>
  <c r="V85" i="7" s="1"/>
  <c r="W86" i="3"/>
  <c r="W89" i="3" s="1"/>
  <c r="V92" i="3"/>
  <c r="V62" i="7"/>
  <c r="V18" i="7"/>
  <c r="V27" i="7"/>
  <c r="AD38" i="4"/>
  <c r="V6" i="5"/>
  <c r="AI38" i="4"/>
  <c r="AK64" i="5" s="1"/>
  <c r="AC23" i="4"/>
  <c r="AB23" i="4"/>
  <c r="AH23" i="4"/>
  <c r="S51" i="7"/>
  <c r="AF21" i="4"/>
  <c r="AG20" i="4"/>
  <c r="T22" i="5"/>
  <c r="S45" i="5"/>
  <c r="T12" i="3"/>
  <c r="S35" i="3"/>
  <c r="S33" i="5"/>
  <c r="T10" i="5"/>
  <c r="S34" i="5"/>
  <c r="T11" i="5"/>
  <c r="S50" i="7"/>
  <c r="AF21" i="2"/>
  <c r="AG20" i="2"/>
  <c r="Z24" i="4"/>
  <c r="O24" i="4"/>
  <c r="Q24" i="4"/>
  <c r="T21" i="5"/>
  <c r="S44" i="5"/>
  <c r="U67" i="7"/>
  <c r="U20" i="7"/>
  <c r="U88" i="5"/>
  <c r="U29" i="7" s="1"/>
  <c r="U22" i="7"/>
  <c r="U89" i="5"/>
  <c r="U46" i="7" s="1"/>
  <c r="T68" i="7"/>
  <c r="T48" i="7"/>
  <c r="J21" i="2"/>
  <c r="K21" i="2" s="1"/>
  <c r="U77" i="5"/>
  <c r="V77" i="5" s="1"/>
  <c r="S46" i="5"/>
  <c r="T23" i="5"/>
  <c r="S59" i="7"/>
  <c r="S57" i="7"/>
  <c r="S70" i="7"/>
  <c r="U78" i="5"/>
  <c r="T24" i="3"/>
  <c r="S47" i="3"/>
  <c r="S33" i="3"/>
  <c r="T10" i="3"/>
  <c r="S45" i="3"/>
  <c r="T22" i="3"/>
  <c r="S43" i="5"/>
  <c r="T20" i="5"/>
  <c r="V76" i="3"/>
  <c r="S42" i="3"/>
  <c r="T19" i="3"/>
  <c r="V60" i="5"/>
  <c r="V71" i="5" s="1"/>
  <c r="U29" i="5"/>
  <c r="U53" i="5" s="1"/>
  <c r="V59" i="5"/>
  <c r="V70" i="5" s="1"/>
  <c r="V57" i="5"/>
  <c r="V68" i="5" s="1"/>
  <c r="V58" i="5"/>
  <c r="V69" i="5" s="1"/>
  <c r="T20" i="3"/>
  <c r="S43" i="3"/>
  <c r="V78" i="7"/>
  <c r="W80" i="7"/>
  <c r="U40" i="7"/>
  <c r="V86" i="5"/>
  <c r="S34" i="3"/>
  <c r="T11" i="3"/>
  <c r="V89" i="3"/>
  <c r="T55" i="7"/>
  <c r="T39" i="3"/>
  <c r="U16" i="3"/>
  <c r="U17" i="3"/>
  <c r="T40" i="3"/>
  <c r="S37" i="3"/>
  <c r="T14" i="3"/>
  <c r="W87" i="3"/>
  <c r="V93" i="3"/>
  <c r="V90" i="3"/>
  <c r="S56" i="7"/>
  <c r="S39" i="5"/>
  <c r="T16" i="5"/>
  <c r="Z12" i="7"/>
  <c r="H27" i="4"/>
  <c r="F28" i="4"/>
  <c r="Z36" i="7"/>
  <c r="U24" i="7"/>
  <c r="U90" i="5"/>
  <c r="T13" i="3"/>
  <c r="S36" i="3"/>
  <c r="T69" i="7"/>
  <c r="T49" i="7"/>
  <c r="J21" i="4"/>
  <c r="K21" i="4" s="1"/>
  <c r="V59" i="3"/>
  <c r="V70" i="3" s="1"/>
  <c r="V60" i="3"/>
  <c r="V71" i="3" s="1"/>
  <c r="V58" i="3"/>
  <c r="V69" i="3" s="1"/>
  <c r="V57" i="3"/>
  <c r="V68" i="3" s="1"/>
  <c r="U29" i="3"/>
  <c r="U53" i="3" s="1"/>
  <c r="S23" i="4"/>
  <c r="V39" i="7"/>
  <c r="W104" i="3"/>
  <c r="O24" i="2"/>
  <c r="Z24" i="2"/>
  <c r="Q24" i="2"/>
  <c r="T21" i="3"/>
  <c r="S44" i="3"/>
  <c r="S41" i="5"/>
  <c r="T18" i="5"/>
  <c r="T14" i="5"/>
  <c r="S37" i="5"/>
  <c r="U23" i="7"/>
  <c r="U108" i="3"/>
  <c r="T41" i="3"/>
  <c r="U18" i="3"/>
  <c r="S38" i="5"/>
  <c r="T15" i="5"/>
  <c r="V82" i="7"/>
  <c r="V84" i="7" s="1"/>
  <c r="V26" i="7"/>
  <c r="V61" i="7"/>
  <c r="V17" i="7"/>
  <c r="AI38" i="2"/>
  <c r="AK64" i="3" s="1"/>
  <c r="AD38" i="2"/>
  <c r="AE23" i="2"/>
  <c r="V6" i="3"/>
  <c r="AC23" i="2"/>
  <c r="AH23" i="2"/>
  <c r="AB23" i="2"/>
  <c r="R58" i="7"/>
  <c r="R60" i="7"/>
  <c r="R71" i="7"/>
  <c r="U66" i="7"/>
  <c r="U19" i="7"/>
  <c r="U21" i="7"/>
  <c r="U106" i="3"/>
  <c r="U28" i="7" s="1"/>
  <c r="U107" i="3"/>
  <c r="U45" i="7" s="1"/>
  <c r="X11" i="7"/>
  <c r="F26" i="2"/>
  <c r="H25" i="2"/>
  <c r="X35" i="7"/>
  <c r="V76" i="5"/>
  <c r="T17" i="5"/>
  <c r="S40" i="5"/>
  <c r="R23" i="2"/>
  <c r="V5" i="3" s="1"/>
  <c r="W58" i="3" l="1"/>
  <c r="W69" i="3" s="1"/>
  <c r="W60" i="3"/>
  <c r="W71" i="3" s="1"/>
  <c r="V29" i="3"/>
  <c r="V53" i="3" s="1"/>
  <c r="W57" i="3"/>
  <c r="W68" i="3" s="1"/>
  <c r="W59" i="3"/>
  <c r="W70" i="3" s="1"/>
  <c r="V23" i="7"/>
  <c r="V108" i="3"/>
  <c r="U14" i="5"/>
  <c r="T37" i="5"/>
  <c r="W39" i="7"/>
  <c r="X104" i="3"/>
  <c r="T8" i="7"/>
  <c r="T10" i="7"/>
  <c r="AA12" i="7"/>
  <c r="F29" i="4"/>
  <c r="H28" i="4"/>
  <c r="AA36" i="7"/>
  <c r="W93" i="3"/>
  <c r="X87" i="3"/>
  <c r="W90" i="3"/>
  <c r="W78" i="7"/>
  <c r="X80" i="7"/>
  <c r="W62" i="7"/>
  <c r="W27" i="7"/>
  <c r="W18" i="7"/>
  <c r="W6" i="5"/>
  <c r="AE24" i="4"/>
  <c r="AB24" i="4"/>
  <c r="AH24" i="4"/>
  <c r="AC24" i="4"/>
  <c r="W59" i="5"/>
  <c r="W70" i="5" s="1"/>
  <c r="W60" i="5"/>
  <c r="W71" i="5" s="1"/>
  <c r="W58" i="5"/>
  <c r="W69" i="5" s="1"/>
  <c r="W57" i="5"/>
  <c r="W68" i="5" s="1"/>
  <c r="V29" i="5"/>
  <c r="V53" i="5" s="1"/>
  <c r="T42" i="5"/>
  <c r="U19" i="5"/>
  <c r="T35" i="5"/>
  <c r="U12" i="5"/>
  <c r="T41" i="5"/>
  <c r="U18" i="5"/>
  <c r="T33" i="3"/>
  <c r="U10" i="3"/>
  <c r="T46" i="5"/>
  <c r="U23" i="5"/>
  <c r="V67" i="7"/>
  <c r="V20" i="7"/>
  <c r="V88" i="5"/>
  <c r="V29" i="7" s="1"/>
  <c r="V22" i="7"/>
  <c r="V89" i="5"/>
  <c r="V46" i="7" s="1"/>
  <c r="O25" i="2"/>
  <c r="Q25" i="2"/>
  <c r="R25" i="2" s="1"/>
  <c r="X5" i="3" s="1"/>
  <c r="Z25" i="2"/>
  <c r="X82" i="7"/>
  <c r="X84" i="7" s="1"/>
  <c r="X89" i="3"/>
  <c r="V48" i="7"/>
  <c r="V68" i="7"/>
  <c r="J23" i="2"/>
  <c r="K23" i="2" s="1"/>
  <c r="T50" i="7"/>
  <c r="AF22" i="2"/>
  <c r="AG21" i="2"/>
  <c r="T35" i="3"/>
  <c r="U12" i="3"/>
  <c r="V24" i="7"/>
  <c r="V90" i="5"/>
  <c r="T48" i="5"/>
  <c r="U25" i="5"/>
  <c r="T47" i="5"/>
  <c r="U24" i="5"/>
  <c r="D27" i="2"/>
  <c r="E26" i="2"/>
  <c r="M26" i="2"/>
  <c r="T38" i="5"/>
  <c r="U15" i="5"/>
  <c r="T37" i="3"/>
  <c r="U14" i="3"/>
  <c r="T56" i="7"/>
  <c r="T39" i="5"/>
  <c r="U16" i="5"/>
  <c r="T43" i="3"/>
  <c r="U20" i="3"/>
  <c r="AE23" i="4"/>
  <c r="U25" i="3"/>
  <c r="T48" i="3"/>
  <c r="T36" i="5"/>
  <c r="U13" i="5"/>
  <c r="V78" i="3"/>
  <c r="W78" i="3" s="1"/>
  <c r="V75" i="5"/>
  <c r="W75" i="5" s="1"/>
  <c r="R24" i="2"/>
  <c r="W5" i="3" s="1"/>
  <c r="U55" i="7"/>
  <c r="V16" i="3"/>
  <c r="U39" i="3"/>
  <c r="T43" i="5"/>
  <c r="U20" i="5"/>
  <c r="V78" i="5"/>
  <c r="W78" i="5" s="1"/>
  <c r="T44" i="5"/>
  <c r="U21" i="5"/>
  <c r="U8" i="7"/>
  <c r="U10" i="7"/>
  <c r="Z25" i="4"/>
  <c r="Q25" i="4"/>
  <c r="R25" i="4" s="1"/>
  <c r="X5" i="5" s="1"/>
  <c r="O25" i="4"/>
  <c r="U7" i="7"/>
  <c r="U9" i="7"/>
  <c r="T42" i="3"/>
  <c r="U19" i="3"/>
  <c r="Y11" i="7"/>
  <c r="H26" i="2"/>
  <c r="F27" i="2"/>
  <c r="Y35" i="7"/>
  <c r="U41" i="3"/>
  <c r="V18" i="3"/>
  <c r="T44" i="3"/>
  <c r="U21" i="3"/>
  <c r="T36" i="3"/>
  <c r="U13" i="3"/>
  <c r="S60" i="7"/>
  <c r="S58" i="7"/>
  <c r="S71" i="7"/>
  <c r="U40" i="3"/>
  <c r="V17" i="3"/>
  <c r="T34" i="3"/>
  <c r="U11" i="3"/>
  <c r="V75" i="3"/>
  <c r="W75" i="3" s="1"/>
  <c r="W76" i="3"/>
  <c r="T47" i="3"/>
  <c r="U24" i="3"/>
  <c r="T7" i="7"/>
  <c r="T9" i="7"/>
  <c r="T34" i="5"/>
  <c r="U11" i="5"/>
  <c r="T45" i="5"/>
  <c r="U22" i="5"/>
  <c r="V66" i="7"/>
  <c r="V19" i="7"/>
  <c r="V21" i="7"/>
  <c r="V106" i="3"/>
  <c r="V28" i="7" s="1"/>
  <c r="V107" i="3"/>
  <c r="V45" i="7" s="1"/>
  <c r="W61" i="7"/>
  <c r="W26" i="7"/>
  <c r="W17" i="7"/>
  <c r="AE24" i="2"/>
  <c r="W6" i="3"/>
  <c r="AB24" i="2"/>
  <c r="AH24" i="2"/>
  <c r="AC24" i="2"/>
  <c r="T59" i="7"/>
  <c r="T57" i="7"/>
  <c r="T70" i="7"/>
  <c r="V40" i="7"/>
  <c r="W86" i="5"/>
  <c r="R24" i="4"/>
  <c r="W5" i="5" s="1"/>
  <c r="V77" i="3"/>
  <c r="W77" i="3" s="1"/>
  <c r="T51" i="7"/>
  <c r="AG21" i="4"/>
  <c r="AF22" i="4"/>
  <c r="X81" i="7"/>
  <c r="W79" i="7"/>
  <c r="W83" i="7"/>
  <c r="W85" i="7" s="1"/>
  <c r="W82" i="7"/>
  <c r="W84" i="7" s="1"/>
  <c r="W77" i="5"/>
  <c r="X86" i="3"/>
  <c r="W92" i="3"/>
  <c r="T40" i="5"/>
  <c r="U17" i="5"/>
  <c r="T45" i="3"/>
  <c r="U22" i="3"/>
  <c r="T33" i="5"/>
  <c r="U10" i="5"/>
  <c r="V15" i="3"/>
  <c r="U38" i="3"/>
  <c r="D27" i="4"/>
  <c r="M26" i="4"/>
  <c r="E26" i="4"/>
  <c r="V23" i="3"/>
  <c r="U46" i="3"/>
  <c r="U38" i="5" l="1"/>
  <c r="V15" i="5"/>
  <c r="V12" i="5"/>
  <c r="U35" i="5"/>
  <c r="AB12" i="7"/>
  <c r="F30" i="4"/>
  <c r="H29" i="4"/>
  <c r="AB36" i="7"/>
  <c r="V41" i="3"/>
  <c r="W18" i="3"/>
  <c r="V7" i="7"/>
  <c r="V9" i="7"/>
  <c r="U33" i="3"/>
  <c r="V10" i="3"/>
  <c r="W24" i="7"/>
  <c r="W90" i="5"/>
  <c r="Y80" i="7"/>
  <c r="X78" i="7"/>
  <c r="V20" i="3"/>
  <c r="U43" i="3"/>
  <c r="V46" i="3"/>
  <c r="W23" i="3"/>
  <c r="U45" i="3"/>
  <c r="V22" i="3"/>
  <c r="X86" i="5"/>
  <c r="W40" i="7"/>
  <c r="V24" i="3"/>
  <c r="U47" i="3"/>
  <c r="U56" i="7"/>
  <c r="V16" i="5"/>
  <c r="U39" i="5"/>
  <c r="Z26" i="2"/>
  <c r="Q26" i="2"/>
  <c r="R26" i="2" s="1"/>
  <c r="Y5" i="3" s="1"/>
  <c r="O26" i="2"/>
  <c r="U42" i="5"/>
  <c r="V19" i="5"/>
  <c r="X60" i="5"/>
  <c r="X71" i="5" s="1"/>
  <c r="X58" i="5"/>
  <c r="X69" i="5" s="1"/>
  <c r="X57" i="5"/>
  <c r="X68" i="5" s="1"/>
  <c r="X59" i="5"/>
  <c r="X70" i="5" s="1"/>
  <c r="W29" i="5"/>
  <c r="W53" i="5" s="1"/>
  <c r="W76" i="5"/>
  <c r="X76" i="5" s="1"/>
  <c r="T71" i="7"/>
  <c r="T60" i="7"/>
  <c r="T58" i="7"/>
  <c r="W67" i="7"/>
  <c r="W88" i="5"/>
  <c r="W29" i="7" s="1"/>
  <c r="W20" i="7"/>
  <c r="W22" i="7"/>
  <c r="W89" i="5"/>
  <c r="W46" i="7" s="1"/>
  <c r="U33" i="5"/>
  <c r="V10" i="5"/>
  <c r="X77" i="5"/>
  <c r="X57" i="3"/>
  <c r="X68" i="3" s="1"/>
  <c r="X58" i="3"/>
  <c r="X69" i="3" s="1"/>
  <c r="W29" i="3"/>
  <c r="W53" i="3" s="1"/>
  <c r="X60" i="3"/>
  <c r="X71" i="3" s="1"/>
  <c r="X59" i="3"/>
  <c r="X70" i="3" s="1"/>
  <c r="V25" i="5"/>
  <c r="U48" i="5"/>
  <c r="Y81" i="7"/>
  <c r="X79" i="7"/>
  <c r="X83" i="7"/>
  <c r="X85" i="7" s="1"/>
  <c r="U45" i="5"/>
  <c r="V22" i="5"/>
  <c r="D28" i="2"/>
  <c r="E27" i="2"/>
  <c r="M27" i="2"/>
  <c r="W49" i="7"/>
  <c r="W69" i="7"/>
  <c r="J24" i="4"/>
  <c r="K24" i="4" s="1"/>
  <c r="Y87" i="3"/>
  <c r="X93" i="3"/>
  <c r="X90" i="3"/>
  <c r="X39" i="7"/>
  <c r="Y104" i="3"/>
  <c r="W66" i="7"/>
  <c r="W19" i="7"/>
  <c r="W21" i="7"/>
  <c r="W106" i="3"/>
  <c r="W28" i="7" s="1"/>
  <c r="W107" i="3"/>
  <c r="W45" i="7" s="1"/>
  <c r="W48" i="7"/>
  <c r="W68" i="7"/>
  <c r="J24" i="2"/>
  <c r="K24" i="2" s="1"/>
  <c r="U36" i="3"/>
  <c r="V13" i="3"/>
  <c r="Y82" i="7"/>
  <c r="Y84" i="7" s="1"/>
  <c r="X62" i="7"/>
  <c r="X18" i="7"/>
  <c r="X27" i="7"/>
  <c r="X6" i="5"/>
  <c r="AC25" i="4"/>
  <c r="AH25" i="4"/>
  <c r="AB25" i="4"/>
  <c r="U59" i="7"/>
  <c r="U57" i="7"/>
  <c r="U70" i="7"/>
  <c r="S24" i="4"/>
  <c r="S25" i="4" s="1"/>
  <c r="V24" i="5"/>
  <c r="U47" i="5"/>
  <c r="V40" i="3"/>
  <c r="W17" i="3"/>
  <c r="V21" i="5"/>
  <c r="U44" i="5"/>
  <c r="V20" i="5"/>
  <c r="U43" i="5"/>
  <c r="V13" i="5"/>
  <c r="U36" i="5"/>
  <c r="Z26" i="4"/>
  <c r="Q26" i="4"/>
  <c r="R26" i="4" s="1"/>
  <c r="Y5" i="5" s="1"/>
  <c r="O26" i="4"/>
  <c r="U51" i="7"/>
  <c r="AG22" i="4"/>
  <c r="AF23" i="4"/>
  <c r="U34" i="5"/>
  <c r="V11" i="5"/>
  <c r="V11" i="3"/>
  <c r="U34" i="3"/>
  <c r="V55" i="7"/>
  <c r="W16" i="3"/>
  <c r="V39" i="3"/>
  <c r="V25" i="3"/>
  <c r="U48" i="3"/>
  <c r="U37" i="3"/>
  <c r="V14" i="3"/>
  <c r="U40" i="5"/>
  <c r="V17" i="5"/>
  <c r="X76" i="3"/>
  <c r="Z11" i="7"/>
  <c r="F28" i="2"/>
  <c r="H27" i="2"/>
  <c r="Z35" i="7"/>
  <c r="V12" i="3"/>
  <c r="U35" i="3"/>
  <c r="D28" i="4"/>
  <c r="M27" i="4"/>
  <c r="E27" i="4"/>
  <c r="U41" i="5"/>
  <c r="V18" i="5"/>
  <c r="V38" i="3"/>
  <c r="W15" i="3"/>
  <c r="Y86" i="3"/>
  <c r="Y89" i="3" s="1"/>
  <c r="X92" i="3"/>
  <c r="W23" i="7"/>
  <c r="W108" i="3"/>
  <c r="U44" i="3"/>
  <c r="V21" i="3"/>
  <c r="V19" i="3"/>
  <c r="U42" i="3"/>
  <c r="V69" i="7"/>
  <c r="V49" i="7"/>
  <c r="J23" i="4"/>
  <c r="K23" i="4" s="1"/>
  <c r="S24" i="2"/>
  <c r="S25" i="2" s="1"/>
  <c r="U50" i="7"/>
  <c r="AF23" i="2"/>
  <c r="AG22" i="2"/>
  <c r="X61" i="7"/>
  <c r="X26" i="7"/>
  <c r="X17" i="7"/>
  <c r="X6" i="3"/>
  <c r="AE25" i="2"/>
  <c r="AC25" i="2"/>
  <c r="AB25" i="2"/>
  <c r="AH25" i="2"/>
  <c r="U46" i="5"/>
  <c r="V23" i="5"/>
  <c r="U37" i="5"/>
  <c r="V14" i="5"/>
  <c r="Y59" i="5" l="1"/>
  <c r="Y70" i="5" s="1"/>
  <c r="Y60" i="5"/>
  <c r="Y71" i="5" s="1"/>
  <c r="Y57" i="5"/>
  <c r="Y68" i="5" s="1"/>
  <c r="Y58" i="5"/>
  <c r="Y69" i="5" s="1"/>
  <c r="X29" i="5"/>
  <c r="X53" i="5" s="1"/>
  <c r="V8" i="7"/>
  <c r="V10" i="7"/>
  <c r="Z27" i="4"/>
  <c r="Q27" i="4"/>
  <c r="O27" i="4"/>
  <c r="W55" i="7"/>
  <c r="W39" i="3"/>
  <c r="X16" i="3"/>
  <c r="W7" i="7"/>
  <c r="W9" i="7"/>
  <c r="Y39" i="7"/>
  <c r="Z104" i="3"/>
  <c r="Q27" i="2"/>
  <c r="R27" i="2" s="1"/>
  <c r="Z5" i="3" s="1"/>
  <c r="Z27" i="2"/>
  <c r="O27" i="2"/>
  <c r="Y77" i="5"/>
  <c r="V44" i="5"/>
  <c r="W21" i="5"/>
  <c r="W25" i="5"/>
  <c r="V48" i="5"/>
  <c r="V33" i="5"/>
  <c r="W10" i="5"/>
  <c r="V42" i="5"/>
  <c r="W19" i="5"/>
  <c r="X78" i="3"/>
  <c r="Y78" i="3" s="1"/>
  <c r="X23" i="3"/>
  <c r="W46" i="3"/>
  <c r="V33" i="3"/>
  <c r="W10" i="3"/>
  <c r="M28" i="4"/>
  <c r="D29" i="4"/>
  <c r="E28" i="4"/>
  <c r="X78" i="5"/>
  <c r="Y78" i="5" s="1"/>
  <c r="AC12" i="7"/>
  <c r="F31" i="4"/>
  <c r="H30" i="4"/>
  <c r="AC36" i="7"/>
  <c r="V40" i="5"/>
  <c r="W17" i="5"/>
  <c r="Y92" i="3"/>
  <c r="Z86" i="3"/>
  <c r="X15" i="3"/>
  <c r="W38" i="3"/>
  <c r="V37" i="3"/>
  <c r="W14" i="3"/>
  <c r="Y62" i="7"/>
  <c r="Y18" i="7"/>
  <c r="Y27" i="7"/>
  <c r="AE26" i="4"/>
  <c r="Y6" i="5"/>
  <c r="AB26" i="4"/>
  <c r="AC26" i="4"/>
  <c r="AH26" i="4"/>
  <c r="Y58" i="3"/>
  <c r="Y69" i="3" s="1"/>
  <c r="X29" i="3"/>
  <c r="X53" i="3" s="1"/>
  <c r="Y60" i="3"/>
  <c r="Y71" i="3" s="1"/>
  <c r="Y57" i="3"/>
  <c r="Y68" i="3" s="1"/>
  <c r="Y59" i="3"/>
  <c r="Y70" i="3" s="1"/>
  <c r="V34" i="5"/>
  <c r="W11" i="5"/>
  <c r="X24" i="7"/>
  <c r="X90" i="5"/>
  <c r="W40" i="3"/>
  <c r="X17" i="3"/>
  <c r="V43" i="3"/>
  <c r="W20" i="3"/>
  <c r="V37" i="5"/>
  <c r="W14" i="5"/>
  <c r="X66" i="7"/>
  <c r="X19" i="7"/>
  <c r="X21" i="7"/>
  <c r="X106" i="3"/>
  <c r="X28" i="7" s="1"/>
  <c r="X107" i="3"/>
  <c r="X45" i="7" s="1"/>
  <c r="V50" i="7"/>
  <c r="AG23" i="2"/>
  <c r="AF24" i="2"/>
  <c r="V41" i="5"/>
  <c r="W18" i="5"/>
  <c r="W13" i="5"/>
  <c r="V36" i="5"/>
  <c r="V47" i="5"/>
  <c r="W24" i="5"/>
  <c r="AE25" i="4"/>
  <c r="V36" i="3"/>
  <c r="W13" i="3"/>
  <c r="W8" i="7"/>
  <c r="W10" i="7"/>
  <c r="Y61" i="7"/>
  <c r="Y26" i="7"/>
  <c r="Y17" i="7"/>
  <c r="Y6" i="3"/>
  <c r="AB26" i="2"/>
  <c r="AC26" i="2"/>
  <c r="AH26" i="2"/>
  <c r="X75" i="5"/>
  <c r="Y75" i="5" s="1"/>
  <c r="V35" i="5"/>
  <c r="W12" i="5"/>
  <c r="V47" i="3"/>
  <c r="W24" i="3"/>
  <c r="V44" i="3"/>
  <c r="W21" i="3"/>
  <c r="X23" i="7"/>
  <c r="X108" i="3"/>
  <c r="AA11" i="7"/>
  <c r="H28" i="2"/>
  <c r="F29" i="2"/>
  <c r="AA35" i="7"/>
  <c r="V48" i="3"/>
  <c r="W25" i="3"/>
  <c r="V51" i="7"/>
  <c r="AF24" i="4"/>
  <c r="AG23" i="4"/>
  <c r="S26" i="4"/>
  <c r="U71" i="7"/>
  <c r="U60" i="7"/>
  <c r="U58" i="7"/>
  <c r="X40" i="7"/>
  <c r="Y86" i="5"/>
  <c r="Z80" i="7"/>
  <c r="Z82" i="7" s="1"/>
  <c r="Z84" i="7" s="1"/>
  <c r="Y78" i="7"/>
  <c r="X18" i="3"/>
  <c r="W41" i="3"/>
  <c r="V38" i="5"/>
  <c r="W15" i="5"/>
  <c r="V46" i="5"/>
  <c r="W23" i="5"/>
  <c r="X67" i="7"/>
  <c r="X22" i="7"/>
  <c r="X20" i="7"/>
  <c r="X88" i="5"/>
  <c r="X29" i="7" s="1"/>
  <c r="X89" i="5"/>
  <c r="X46" i="7" s="1"/>
  <c r="D29" i="2"/>
  <c r="E28" i="2"/>
  <c r="M28" i="2"/>
  <c r="V35" i="3"/>
  <c r="W12" i="3"/>
  <c r="V34" i="3"/>
  <c r="W11" i="3"/>
  <c r="V45" i="5"/>
  <c r="W22" i="5"/>
  <c r="Y76" i="5"/>
  <c r="V42" i="3"/>
  <c r="W19" i="3"/>
  <c r="Y93" i="3"/>
  <c r="Z87" i="3"/>
  <c r="Y90" i="3"/>
  <c r="X48" i="7"/>
  <c r="X68" i="7"/>
  <c r="J25" i="2"/>
  <c r="K25" i="2" s="1"/>
  <c r="S26" i="2"/>
  <c r="S27" i="2" s="1"/>
  <c r="V70" i="7"/>
  <c r="V59" i="7"/>
  <c r="V57" i="7"/>
  <c r="V43" i="5"/>
  <c r="W20" i="5"/>
  <c r="X75" i="3"/>
  <c r="Y79" i="7"/>
  <c r="Z81" i="7"/>
  <c r="Y83" i="7"/>
  <c r="Y85" i="7" s="1"/>
  <c r="X77" i="3"/>
  <c r="Y77" i="3" s="1"/>
  <c r="V56" i="7"/>
  <c r="V39" i="5"/>
  <c r="W16" i="5"/>
  <c r="V45" i="3"/>
  <c r="W22" i="3"/>
  <c r="X7" i="7" l="1"/>
  <c r="X9" i="7"/>
  <c r="W48" i="3"/>
  <c r="X25" i="3"/>
  <c r="W44" i="3"/>
  <c r="X21" i="3"/>
  <c r="Y23" i="7"/>
  <c r="Y108" i="3"/>
  <c r="W56" i="7"/>
  <c r="W39" i="5"/>
  <c r="X16" i="5"/>
  <c r="AE26" i="2"/>
  <c r="Z62" i="7"/>
  <c r="Z27" i="7"/>
  <c r="Z18" i="7"/>
  <c r="Z6" i="5"/>
  <c r="AH27" i="4"/>
  <c r="AC27" i="4"/>
  <c r="AB27" i="4"/>
  <c r="W47" i="3"/>
  <c r="X24" i="3"/>
  <c r="W40" i="5"/>
  <c r="X17" i="5"/>
  <c r="X46" i="3"/>
  <c r="Y23" i="3"/>
  <c r="V71" i="7"/>
  <c r="V60" i="7"/>
  <c r="V58" i="7"/>
  <c r="Z28" i="4"/>
  <c r="O28" i="4"/>
  <c r="Q28" i="4"/>
  <c r="X20" i="5"/>
  <c r="W43" i="5"/>
  <c r="D30" i="4"/>
  <c r="E29" i="4"/>
  <c r="M29" i="4"/>
  <c r="W44" i="5"/>
  <c r="X21" i="5"/>
  <c r="X11" i="3"/>
  <c r="W34" i="3"/>
  <c r="AB11" i="7"/>
  <c r="F30" i="2"/>
  <c r="H29" i="2"/>
  <c r="AB35" i="7"/>
  <c r="X69" i="7"/>
  <c r="X49" i="7"/>
  <c r="J25" i="4"/>
  <c r="K25" i="4" s="1"/>
  <c r="W41" i="5"/>
  <c r="X18" i="5"/>
  <c r="AA87" i="3"/>
  <c r="Z93" i="3"/>
  <c r="Z90" i="3"/>
  <c r="X41" i="3"/>
  <c r="Y18" i="3"/>
  <c r="X12" i="5"/>
  <c r="W35" i="5"/>
  <c r="X24" i="5"/>
  <c r="W47" i="5"/>
  <c r="Z58" i="5"/>
  <c r="Z69" i="5" s="1"/>
  <c r="Z60" i="5"/>
  <c r="Z71" i="5" s="1"/>
  <c r="Z57" i="5"/>
  <c r="Z68" i="5" s="1"/>
  <c r="Y29" i="5"/>
  <c r="Y53" i="5" s="1"/>
  <c r="Z59" i="5"/>
  <c r="Z70" i="5" s="1"/>
  <c r="X14" i="3"/>
  <c r="W37" i="3"/>
  <c r="X19" i="5"/>
  <c r="W42" i="5"/>
  <c r="X55" i="7"/>
  <c r="X39" i="3"/>
  <c r="Y16" i="3"/>
  <c r="W50" i="7"/>
  <c r="AF25" i="2"/>
  <c r="AG24" i="2"/>
  <c r="W37" i="5"/>
  <c r="X14" i="5"/>
  <c r="X11" i="5"/>
  <c r="W34" i="5"/>
  <c r="Y24" i="7"/>
  <c r="Y90" i="5"/>
  <c r="W70" i="7"/>
  <c r="W59" i="7"/>
  <c r="W57" i="7"/>
  <c r="W35" i="3"/>
  <c r="X12" i="3"/>
  <c r="X19" i="3"/>
  <c r="W42" i="3"/>
  <c r="AA80" i="7"/>
  <c r="Z78" i="7"/>
  <c r="W51" i="7"/>
  <c r="AF25" i="4"/>
  <c r="AG24" i="4"/>
  <c r="Z75" i="5"/>
  <c r="Y67" i="7"/>
  <c r="Y22" i="7"/>
  <c r="Y20" i="7"/>
  <c r="Y88" i="5"/>
  <c r="Y29" i="7" s="1"/>
  <c r="Y89" i="5"/>
  <c r="Y46" i="7" s="1"/>
  <c r="AD12" i="7"/>
  <c r="F32" i="4"/>
  <c r="H31" i="4"/>
  <c r="AD36" i="7"/>
  <c r="W33" i="5"/>
  <c r="X10" i="5"/>
  <c r="Z61" i="7"/>
  <c r="Z26" i="7"/>
  <c r="Z17" i="7"/>
  <c r="Z6" i="3"/>
  <c r="AE27" i="2"/>
  <c r="AH27" i="2"/>
  <c r="AC27" i="2"/>
  <c r="AB27" i="2"/>
  <c r="O28" i="2"/>
  <c r="Z28" i="2"/>
  <c r="Q28" i="2"/>
  <c r="X23" i="5"/>
  <c r="W46" i="5"/>
  <c r="Y40" i="7"/>
  <c r="Z86" i="5"/>
  <c r="Z59" i="3"/>
  <c r="Z70" i="3" s="1"/>
  <c r="Z58" i="3"/>
  <c r="Z69" i="3" s="1"/>
  <c r="Z57" i="3"/>
  <c r="Z68" i="3" s="1"/>
  <c r="Y29" i="3"/>
  <c r="Y53" i="3" s="1"/>
  <c r="Z60" i="3"/>
  <c r="Z71" i="3" s="1"/>
  <c r="W36" i="5"/>
  <c r="X13" i="5"/>
  <c r="W43" i="3"/>
  <c r="X20" i="3"/>
  <c r="X38" i="3"/>
  <c r="Y15" i="3"/>
  <c r="X10" i="3"/>
  <c r="W33" i="3"/>
  <c r="Y76" i="3"/>
  <c r="Z79" i="7"/>
  <c r="AA81" i="7"/>
  <c r="Z83" i="7"/>
  <c r="Z85" i="7" s="1"/>
  <c r="X22" i="3"/>
  <c r="W45" i="3"/>
  <c r="Z76" i="5"/>
  <c r="Z39" i="7"/>
  <c r="AA104" i="3"/>
  <c r="Y69" i="7"/>
  <c r="Y49" i="7"/>
  <c r="J26" i="4"/>
  <c r="K26" i="4" s="1"/>
  <c r="AA86" i="3"/>
  <c r="Z92" i="3"/>
  <c r="Z78" i="5"/>
  <c r="Y75" i="3"/>
  <c r="Z75" i="3" s="1"/>
  <c r="W45" i="5"/>
  <c r="X22" i="5"/>
  <c r="E29" i="2"/>
  <c r="D30" i="2"/>
  <c r="M29" i="2"/>
  <c r="X15" i="5"/>
  <c r="W38" i="5"/>
  <c r="Y66" i="7"/>
  <c r="Y19" i="7"/>
  <c r="Y21" i="7"/>
  <c r="Y106" i="3"/>
  <c r="Y28" i="7" s="1"/>
  <c r="Y107" i="3"/>
  <c r="Y45" i="7" s="1"/>
  <c r="W36" i="3"/>
  <c r="X13" i="3"/>
  <c r="Z89" i="3"/>
  <c r="X40" i="3"/>
  <c r="Y17" i="3"/>
  <c r="W48" i="5"/>
  <c r="X25" i="5"/>
  <c r="R27" i="4"/>
  <c r="Z5" i="5" s="1"/>
  <c r="X37" i="5" l="1"/>
  <c r="Y14" i="5"/>
  <c r="X48" i="5"/>
  <c r="Y25" i="5"/>
  <c r="X45" i="5"/>
  <c r="Y22" i="5"/>
  <c r="Z17" i="3"/>
  <c r="Y40" i="3"/>
  <c r="AA39" i="7"/>
  <c r="AB104" i="3"/>
  <c r="Z76" i="3"/>
  <c r="AA60" i="3"/>
  <c r="AA71" i="3" s="1"/>
  <c r="AA59" i="3"/>
  <c r="AA70" i="3" s="1"/>
  <c r="AA58" i="3"/>
  <c r="AA69" i="3" s="1"/>
  <c r="Z29" i="3"/>
  <c r="Z53" i="3" s="1"/>
  <c r="AA57" i="3"/>
  <c r="AA68" i="3" s="1"/>
  <c r="X42" i="3"/>
  <c r="Y19" i="3"/>
  <c r="X50" i="7"/>
  <c r="AF26" i="2"/>
  <c r="AG25" i="2"/>
  <c r="X42" i="5"/>
  <c r="Y19" i="5"/>
  <c r="Z18" i="3"/>
  <c r="Y41" i="3"/>
  <c r="X44" i="5"/>
  <c r="Y21" i="5"/>
  <c r="R28" i="4"/>
  <c r="AA5" i="5" s="1"/>
  <c r="X40" i="5"/>
  <c r="Y17" i="5"/>
  <c r="O29" i="2"/>
  <c r="Q29" i="2"/>
  <c r="Z29" i="2"/>
  <c r="X45" i="3"/>
  <c r="Y22" i="3"/>
  <c r="D31" i="2"/>
  <c r="E30" i="2"/>
  <c r="M30" i="2"/>
  <c r="Y8" i="7"/>
  <c r="Y10" i="7"/>
  <c r="Z68" i="7"/>
  <c r="Z48" i="7"/>
  <c r="J27" i="2"/>
  <c r="K27" i="2" s="1"/>
  <c r="X35" i="3"/>
  <c r="Y12" i="3"/>
  <c r="Y24" i="5"/>
  <c r="X47" i="5"/>
  <c r="X46" i="5"/>
  <c r="Y23" i="5"/>
  <c r="X33" i="3"/>
  <c r="Y10" i="3"/>
  <c r="R28" i="2"/>
  <c r="AE12" i="7"/>
  <c r="F33" i="4"/>
  <c r="H32" i="4"/>
  <c r="AE36" i="7"/>
  <c r="Z77" i="3"/>
  <c r="X37" i="3"/>
  <c r="Y14" i="3"/>
  <c r="Z29" i="4"/>
  <c r="Q29" i="4"/>
  <c r="O29" i="4"/>
  <c r="AA62" i="7"/>
  <c r="AA27" i="7"/>
  <c r="AA18" i="7"/>
  <c r="AA6" i="5"/>
  <c r="AE28" i="4"/>
  <c r="AH28" i="4"/>
  <c r="AC28" i="4"/>
  <c r="AB28" i="4"/>
  <c r="X47" i="3"/>
  <c r="Y24" i="3"/>
  <c r="X44" i="3"/>
  <c r="Y21" i="3"/>
  <c r="X36" i="3"/>
  <c r="Y13" i="3"/>
  <c r="Y38" i="3"/>
  <c r="Z15" i="3"/>
  <c r="X51" i="7"/>
  <c r="AF26" i="4"/>
  <c r="AG25" i="4"/>
  <c r="Y55" i="7"/>
  <c r="Y39" i="3"/>
  <c r="Z16" i="3"/>
  <c r="AA92" i="3"/>
  <c r="AB86" i="3"/>
  <c r="AB89" i="3" s="1"/>
  <c r="X34" i="5"/>
  <c r="Y11" i="5"/>
  <c r="X70" i="7"/>
  <c r="X59" i="7"/>
  <c r="X57" i="7"/>
  <c r="AA93" i="3"/>
  <c r="AB87" i="3"/>
  <c r="AA90" i="3"/>
  <c r="AC11" i="7"/>
  <c r="H30" i="2"/>
  <c r="F31" i="2"/>
  <c r="AC35" i="7"/>
  <c r="D31" i="4"/>
  <c r="E30" i="4"/>
  <c r="M30" i="4"/>
  <c r="Z67" i="7"/>
  <c r="Z22" i="7"/>
  <c r="Z88" i="5"/>
  <c r="Z29" i="7" s="1"/>
  <c r="Z20" i="7"/>
  <c r="Z89" i="5"/>
  <c r="Z46" i="7" s="1"/>
  <c r="Y48" i="7"/>
  <c r="Y68" i="7"/>
  <c r="J26" i="2"/>
  <c r="K26" i="2" s="1"/>
  <c r="X48" i="3"/>
  <c r="Y25" i="3"/>
  <c r="AA89" i="3"/>
  <c r="X41" i="5"/>
  <c r="Y18" i="5"/>
  <c r="Z90" i="5"/>
  <c r="Z24" i="7"/>
  <c r="X56" i="7"/>
  <c r="X39" i="5"/>
  <c r="Y16" i="5"/>
  <c r="X38" i="5"/>
  <c r="Y15" i="5"/>
  <c r="AA61" i="7"/>
  <c r="AA26" i="7"/>
  <c r="AA17" i="7"/>
  <c r="AE28" i="2"/>
  <c r="AA6" i="3"/>
  <c r="AH28" i="2"/>
  <c r="AC28" i="2"/>
  <c r="AB28" i="2"/>
  <c r="X35" i="5"/>
  <c r="Y12" i="5"/>
  <c r="X43" i="3"/>
  <c r="Y20" i="3"/>
  <c r="AA79" i="7"/>
  <c r="AB81" i="7"/>
  <c r="AA83" i="7"/>
  <c r="AA85" i="7" s="1"/>
  <c r="Z40" i="7"/>
  <c r="AA86" i="5"/>
  <c r="Z66" i="7"/>
  <c r="Z21" i="7"/>
  <c r="Z19" i="7"/>
  <c r="Z106" i="3"/>
  <c r="Z28" i="7" s="1"/>
  <c r="Z107" i="3"/>
  <c r="Z45" i="7" s="1"/>
  <c r="X33" i="5"/>
  <c r="Y10" i="5"/>
  <c r="AA78" i="7"/>
  <c r="AB80" i="7"/>
  <c r="AB82" i="7" s="1"/>
  <c r="AB84" i="7" s="1"/>
  <c r="Z77" i="5"/>
  <c r="AA82" i="7"/>
  <c r="AA84" i="7" s="1"/>
  <c r="Y20" i="5"/>
  <c r="X43" i="5"/>
  <c r="Z23" i="3"/>
  <c r="Y46" i="3"/>
  <c r="AA57" i="5"/>
  <c r="AA68" i="5" s="1"/>
  <c r="AA59" i="5"/>
  <c r="AA70" i="5" s="1"/>
  <c r="AA60" i="5"/>
  <c r="AA71" i="5" s="1"/>
  <c r="Z29" i="5"/>
  <c r="Z53" i="5" s="1"/>
  <c r="AA58" i="5"/>
  <c r="AA69" i="5" s="1"/>
  <c r="W58" i="7"/>
  <c r="W71" i="7"/>
  <c r="W60" i="7"/>
  <c r="X36" i="5"/>
  <c r="Y13" i="5"/>
  <c r="Z23" i="7"/>
  <c r="Z108" i="3"/>
  <c r="S27" i="4"/>
  <c r="S28" i="4" s="1"/>
  <c r="X8" i="7"/>
  <c r="X10" i="7"/>
  <c r="X34" i="3"/>
  <c r="Y11" i="3"/>
  <c r="Z78" i="3"/>
  <c r="AA78" i="3" s="1"/>
  <c r="AE27" i="4"/>
  <c r="Y43" i="5" l="1"/>
  <c r="Z20" i="5"/>
  <c r="AF12" i="7"/>
  <c r="F34" i="4"/>
  <c r="H33" i="4"/>
  <c r="AF36" i="7"/>
  <c r="Z41" i="3"/>
  <c r="AA18" i="3"/>
  <c r="Y43" i="3"/>
  <c r="Z20" i="3"/>
  <c r="AA68" i="7"/>
  <c r="AA48" i="7"/>
  <c r="J28" i="2"/>
  <c r="K28" i="2" s="1"/>
  <c r="Y7" i="7"/>
  <c r="Y9" i="7"/>
  <c r="O30" i="4"/>
  <c r="Z30" i="4"/>
  <c r="Q30" i="4"/>
  <c r="R30" i="4" s="1"/>
  <c r="AC5" i="5" s="1"/>
  <c r="AC87" i="3"/>
  <c r="AB93" i="3"/>
  <c r="AB90" i="3"/>
  <c r="AA24" i="7"/>
  <c r="AA90" i="5"/>
  <c r="R29" i="4"/>
  <c r="AB5" i="5" s="1"/>
  <c r="AA75" i="3"/>
  <c r="D32" i="2"/>
  <c r="E31" i="2"/>
  <c r="M31" i="2"/>
  <c r="Z19" i="5"/>
  <c r="Y42" i="5"/>
  <c r="Z40" i="3"/>
  <c r="AA17" i="3"/>
  <c r="Z38" i="3"/>
  <c r="AA15" i="3"/>
  <c r="Z69" i="7"/>
  <c r="Z49" i="7"/>
  <c r="J27" i="4"/>
  <c r="K27" i="4" s="1"/>
  <c r="AA77" i="5"/>
  <c r="AB77" i="5" s="1"/>
  <c r="Z55" i="7"/>
  <c r="Z39" i="3"/>
  <c r="Z13" i="3"/>
  <c r="Y36" i="3"/>
  <c r="AB58" i="5"/>
  <c r="AB69" i="5" s="1"/>
  <c r="AB59" i="5"/>
  <c r="AB70" i="5" s="1"/>
  <c r="AB57" i="5"/>
  <c r="AB68" i="5" s="1"/>
  <c r="AB60" i="5"/>
  <c r="AB71" i="5" s="1"/>
  <c r="AA29" i="5"/>
  <c r="AA53" i="5" s="1"/>
  <c r="AB62" i="7"/>
  <c r="AB27" i="7"/>
  <c r="AB18" i="7"/>
  <c r="AB6" i="5"/>
  <c r="AC29" i="4"/>
  <c r="AH29" i="4"/>
  <c r="AB29" i="4"/>
  <c r="AA5" i="3"/>
  <c r="AA16" i="3" s="1"/>
  <c r="S28" i="2"/>
  <c r="Z7" i="7"/>
  <c r="Z9" i="7"/>
  <c r="Z22" i="3"/>
  <c r="Y45" i="3"/>
  <c r="Y40" i="5"/>
  <c r="Z17" i="5"/>
  <c r="Z22" i="5"/>
  <c r="Y45" i="5"/>
  <c r="Y35" i="5"/>
  <c r="Z12" i="5"/>
  <c r="Y70" i="7"/>
  <c r="Y59" i="7"/>
  <c r="Y57" i="7"/>
  <c r="AA69" i="7"/>
  <c r="AA49" i="7"/>
  <c r="J28" i="4"/>
  <c r="K28" i="4" s="1"/>
  <c r="Z14" i="3"/>
  <c r="Y37" i="3"/>
  <c r="Z10" i="3"/>
  <c r="Y33" i="3"/>
  <c r="Y47" i="5"/>
  <c r="Z24" i="5"/>
  <c r="Z10" i="5"/>
  <c r="Y33" i="5"/>
  <c r="S29" i="4"/>
  <c r="S30" i="4" s="1"/>
  <c r="X58" i="7"/>
  <c r="X71" i="7"/>
  <c r="X60" i="7"/>
  <c r="AC86" i="3"/>
  <c r="AB92" i="3"/>
  <c r="AA67" i="7"/>
  <c r="AA88" i="5"/>
  <c r="AA29" i="7" s="1"/>
  <c r="AA20" i="7"/>
  <c r="AA22" i="7"/>
  <c r="AA89" i="5"/>
  <c r="AA46" i="7" s="1"/>
  <c r="Y36" i="5"/>
  <c r="Z13" i="5"/>
  <c r="AB78" i="7"/>
  <c r="AC80" i="7"/>
  <c r="D32" i="4"/>
  <c r="M31" i="4"/>
  <c r="E31" i="4"/>
  <c r="Y34" i="3"/>
  <c r="Z11" i="3"/>
  <c r="AA40" i="7"/>
  <c r="AB86" i="5"/>
  <c r="Z18" i="5"/>
  <c r="Y41" i="5"/>
  <c r="Z21" i="3"/>
  <c r="Y44" i="3"/>
  <c r="Y35" i="3"/>
  <c r="Z12" i="3"/>
  <c r="AB26" i="7"/>
  <c r="AB61" i="7"/>
  <c r="AB17" i="7"/>
  <c r="AB6" i="3"/>
  <c r="AB29" i="2"/>
  <c r="AH29" i="2"/>
  <c r="AC29" i="2"/>
  <c r="Y50" i="7"/>
  <c r="AF27" i="2"/>
  <c r="AG26" i="2"/>
  <c r="Y48" i="5"/>
  <c r="Z25" i="5"/>
  <c r="AA66" i="7"/>
  <c r="AA21" i="7"/>
  <c r="AA19" i="7"/>
  <c r="AA106" i="3"/>
  <c r="AA28" i="7" s="1"/>
  <c r="AA107" i="3"/>
  <c r="AA45" i="7" s="1"/>
  <c r="Y38" i="5"/>
  <c r="Z15" i="5"/>
  <c r="AD11" i="7"/>
  <c r="F32" i="2"/>
  <c r="H31" i="2"/>
  <c r="AD35" i="7"/>
  <c r="AA77" i="3"/>
  <c r="AA76" i="5"/>
  <c r="R29" i="2"/>
  <c r="AB5" i="3" s="1"/>
  <c r="Y44" i="5"/>
  <c r="Z21" i="5"/>
  <c r="AA76" i="3"/>
  <c r="Z46" i="3"/>
  <c r="AA23" i="3"/>
  <c r="AA23" i="7"/>
  <c r="AA108" i="3"/>
  <c r="AC82" i="7"/>
  <c r="AC84" i="7" s="1"/>
  <c r="AC89" i="3"/>
  <c r="Z11" i="5"/>
  <c r="Y34" i="5"/>
  <c r="Y51" i="7"/>
  <c r="AF27" i="4"/>
  <c r="AG26" i="4"/>
  <c r="Y47" i="3"/>
  <c r="Z24" i="3"/>
  <c r="AA78" i="5"/>
  <c r="AB78" i="5" s="1"/>
  <c r="AA75" i="5"/>
  <c r="AB75" i="5" s="1"/>
  <c r="Y42" i="3"/>
  <c r="Z19" i="3"/>
  <c r="AB39" i="7"/>
  <c r="AC104" i="3"/>
  <c r="Z14" i="5"/>
  <c r="Y37" i="5"/>
  <c r="AB79" i="7"/>
  <c r="AC81" i="7"/>
  <c r="AB83" i="7"/>
  <c r="AB85" i="7" s="1"/>
  <c r="AB60" i="3"/>
  <c r="AB71" i="3" s="1"/>
  <c r="AB59" i="3"/>
  <c r="AB70" i="3" s="1"/>
  <c r="AB57" i="3"/>
  <c r="AB68" i="3" s="1"/>
  <c r="AB58" i="3"/>
  <c r="AB69" i="3" s="1"/>
  <c r="AA29" i="3"/>
  <c r="AA53" i="3" s="1"/>
  <c r="Y56" i="7"/>
  <c r="Y39" i="5"/>
  <c r="Z16" i="5"/>
  <c r="Z25" i="3"/>
  <c r="Y48" i="3"/>
  <c r="Z23" i="5"/>
  <c r="Y46" i="5"/>
  <c r="Z30" i="2"/>
  <c r="Q30" i="2"/>
  <c r="O30" i="2"/>
  <c r="AA55" i="7" l="1"/>
  <c r="AB16" i="3"/>
  <c r="AA39" i="3"/>
  <c r="Z42" i="3"/>
  <c r="AA19" i="3"/>
  <c r="Z44" i="5"/>
  <c r="AA21" i="5"/>
  <c r="Z51" i="7"/>
  <c r="AF28" i="4"/>
  <c r="AG27" i="4"/>
  <c r="AB77" i="3"/>
  <c r="Z36" i="5"/>
  <c r="AA13" i="5"/>
  <c r="Z47" i="5"/>
  <c r="AA24" i="5"/>
  <c r="Z40" i="5"/>
  <c r="AA17" i="5"/>
  <c r="AB67" i="7"/>
  <c r="AB20" i="7"/>
  <c r="AB88" i="5"/>
  <c r="AB29" i="7" s="1"/>
  <c r="AB22" i="7"/>
  <c r="AB89" i="5"/>
  <c r="AB46" i="7" s="1"/>
  <c r="Z70" i="7"/>
  <c r="Z59" i="7"/>
  <c r="Z57" i="7"/>
  <c r="AB17" i="3"/>
  <c r="AA40" i="3"/>
  <c r="AA41" i="3"/>
  <c r="AB18" i="3"/>
  <c r="AA46" i="3"/>
  <c r="AB23" i="3"/>
  <c r="AB23" i="7"/>
  <c r="AB108" i="3"/>
  <c r="Z35" i="3"/>
  <c r="AA12" i="3"/>
  <c r="Z34" i="3"/>
  <c r="AA11" i="3"/>
  <c r="AD86" i="3"/>
  <c r="AC92" i="3"/>
  <c r="AC58" i="5"/>
  <c r="AC69" i="5" s="1"/>
  <c r="AC60" i="5"/>
  <c r="AC71" i="5" s="1"/>
  <c r="AC57" i="5"/>
  <c r="AC68" i="5" s="1"/>
  <c r="AB29" i="5"/>
  <c r="AB53" i="5" s="1"/>
  <c r="AC59" i="5"/>
  <c r="AC70" i="5" s="1"/>
  <c r="R30" i="2"/>
  <c r="AC5" i="3" s="1"/>
  <c r="AC60" i="3"/>
  <c r="AC71" i="3" s="1"/>
  <c r="AC59" i="3"/>
  <c r="AC70" i="3" s="1"/>
  <c r="AC57" i="3"/>
  <c r="AC68" i="3" s="1"/>
  <c r="AC58" i="3"/>
  <c r="AC69" i="3" s="1"/>
  <c r="AB29" i="3"/>
  <c r="AB53" i="3" s="1"/>
  <c r="AB90" i="5"/>
  <c r="AB24" i="7"/>
  <c r="Z56" i="7"/>
  <c r="Z39" i="5"/>
  <c r="AA16" i="5"/>
  <c r="Y58" i="7"/>
  <c r="Y71" i="7"/>
  <c r="Y60" i="7"/>
  <c r="AC79" i="7"/>
  <c r="AD81" i="7"/>
  <c r="AC83" i="7"/>
  <c r="AC85" i="7" s="1"/>
  <c r="AC75" i="5"/>
  <c r="Z34" i="5"/>
  <c r="AA11" i="5"/>
  <c r="AB76" i="3"/>
  <c r="AC76" i="3" s="1"/>
  <c r="AE11" i="7"/>
  <c r="H32" i="2"/>
  <c r="F33" i="2"/>
  <c r="AE35" i="7"/>
  <c r="AB21" i="7"/>
  <c r="AB19" i="7"/>
  <c r="AB66" i="7"/>
  <c r="AB106" i="3"/>
  <c r="AB28" i="7" s="1"/>
  <c r="AB107" i="3"/>
  <c r="AB45" i="7" s="1"/>
  <c r="Z33" i="3"/>
  <c r="AA10" i="3"/>
  <c r="Z45" i="3"/>
  <c r="AA22" i="3"/>
  <c r="AE29" i="4"/>
  <c r="Z8" i="7"/>
  <c r="Z10" i="7"/>
  <c r="Z42" i="5"/>
  <c r="AA19" i="5"/>
  <c r="AA7" i="7"/>
  <c r="AA9" i="7"/>
  <c r="Z48" i="3"/>
  <c r="AA25" i="3"/>
  <c r="Q31" i="2"/>
  <c r="R31" i="2" s="1"/>
  <c r="AD5" i="3" s="1"/>
  <c r="Z31" i="2"/>
  <c r="O31" i="2"/>
  <c r="AG12" i="7"/>
  <c r="F35" i="4"/>
  <c r="H34" i="4"/>
  <c r="AG36" i="7"/>
  <c r="AC61" i="7"/>
  <c r="AC26" i="7"/>
  <c r="AC17" i="7"/>
  <c r="AC6" i="3"/>
  <c r="AB30" i="2"/>
  <c r="AH30" i="2"/>
  <c r="AC30" i="2"/>
  <c r="AE30" i="2" s="1"/>
  <c r="AB78" i="3"/>
  <c r="AC78" i="5"/>
  <c r="AE29" i="2"/>
  <c r="Z44" i="3"/>
  <c r="AA21" i="3"/>
  <c r="D33" i="4"/>
  <c r="E32" i="4"/>
  <c r="M32" i="4"/>
  <c r="AA14" i="3"/>
  <c r="Z37" i="3"/>
  <c r="AD87" i="3"/>
  <c r="AC93" i="3"/>
  <c r="AC90" i="3"/>
  <c r="AD89" i="3"/>
  <c r="Z41" i="5"/>
  <c r="AA18" i="5"/>
  <c r="AC78" i="7"/>
  <c r="AD80" i="7"/>
  <c r="AA8" i="7"/>
  <c r="AA10" i="7"/>
  <c r="S29" i="2"/>
  <c r="S30" i="2" s="1"/>
  <c r="Z36" i="3"/>
  <c r="AA13" i="3"/>
  <c r="AA38" i="3"/>
  <c r="AB15" i="3"/>
  <c r="D33" i="2"/>
  <c r="E32" i="2"/>
  <c r="M32" i="2"/>
  <c r="Z43" i="3"/>
  <c r="AA20" i="3"/>
  <c r="Z43" i="5"/>
  <c r="AA20" i="5"/>
  <c r="AA23" i="5"/>
  <c r="Z46" i="5"/>
  <c r="Z48" i="5"/>
  <c r="AA25" i="5"/>
  <c r="Z31" i="4"/>
  <c r="O31" i="4"/>
  <c r="Q31" i="4"/>
  <c r="Z35" i="5"/>
  <c r="AA12" i="5"/>
  <c r="Z47" i="3"/>
  <c r="AA24" i="3"/>
  <c r="Z38" i="5"/>
  <c r="AA15" i="5"/>
  <c r="Z37" i="5"/>
  <c r="AA14" i="5"/>
  <c r="AC39" i="7"/>
  <c r="AD104" i="3"/>
  <c r="AB76" i="5"/>
  <c r="Z50" i="7"/>
  <c r="AG27" i="2"/>
  <c r="AF28" i="2"/>
  <c r="AB40" i="7"/>
  <c r="AC86" i="5"/>
  <c r="Z33" i="5"/>
  <c r="AA10" i="5"/>
  <c r="Z45" i="5"/>
  <c r="AA22" i="5"/>
  <c r="AB75" i="3"/>
  <c r="AC62" i="7"/>
  <c r="AC18" i="7"/>
  <c r="AC27" i="7"/>
  <c r="AC6" i="5"/>
  <c r="AC30" i="4"/>
  <c r="AB30" i="4"/>
  <c r="AH30" i="4"/>
  <c r="AC68" i="7" l="1"/>
  <c r="AC48" i="7"/>
  <c r="J30" i="2"/>
  <c r="K30" i="2" s="1"/>
  <c r="AD78" i="7"/>
  <c r="AE80" i="7"/>
  <c r="AB21" i="3"/>
  <c r="AA44" i="3"/>
  <c r="AB22" i="3"/>
  <c r="AA45" i="3"/>
  <c r="Z71" i="7"/>
  <c r="Z58" i="7"/>
  <c r="Z60" i="7"/>
  <c r="AB46" i="3"/>
  <c r="AC23" i="3"/>
  <c r="AA56" i="7"/>
  <c r="AA39" i="5"/>
  <c r="AB16" i="5"/>
  <c r="AC24" i="7"/>
  <c r="AC90" i="5"/>
  <c r="AC76" i="5"/>
  <c r="AD76" i="5" s="1"/>
  <c r="AB21" i="5"/>
  <c r="AA44" i="5"/>
  <c r="AE30" i="4"/>
  <c r="AB10" i="5"/>
  <c r="AA33" i="5"/>
  <c r="AD39" i="7"/>
  <c r="AE104" i="3"/>
  <c r="AA35" i="5"/>
  <c r="AB12" i="5"/>
  <c r="AA46" i="5"/>
  <c r="AB23" i="5"/>
  <c r="AB38" i="3"/>
  <c r="AC15" i="3"/>
  <c r="AE87" i="3"/>
  <c r="AD93" i="3"/>
  <c r="AD90" i="3"/>
  <c r="AE86" i="3"/>
  <c r="AD92" i="3"/>
  <c r="D34" i="4"/>
  <c r="E33" i="4"/>
  <c r="M33" i="4"/>
  <c r="AC66" i="7"/>
  <c r="AC19" i="7"/>
  <c r="AC21" i="7"/>
  <c r="AC106" i="3"/>
  <c r="AC28" i="7" s="1"/>
  <c r="AC107" i="3"/>
  <c r="AC45" i="7" s="1"/>
  <c r="AH12" i="7"/>
  <c r="F36" i="4"/>
  <c r="H35" i="4"/>
  <c r="AH36" i="7"/>
  <c r="AB69" i="7"/>
  <c r="AB49" i="7"/>
  <c r="J29" i="4"/>
  <c r="K29" i="4" s="1"/>
  <c r="E33" i="2"/>
  <c r="D34" i="2"/>
  <c r="M33" i="2"/>
  <c r="AA47" i="5"/>
  <c r="AB24" i="5"/>
  <c r="AA43" i="5"/>
  <c r="AB20" i="5"/>
  <c r="AB18" i="5"/>
  <c r="AA41" i="5"/>
  <c r="AB48" i="7"/>
  <c r="AB68" i="7"/>
  <c r="J29" i="2"/>
  <c r="K29" i="2" s="1"/>
  <c r="AD61" i="7"/>
  <c r="AD26" i="7"/>
  <c r="AD17" i="7"/>
  <c r="AD6" i="3"/>
  <c r="AE31" i="2"/>
  <c r="AB31" i="2"/>
  <c r="AH31" i="2"/>
  <c r="AC31" i="2"/>
  <c r="AA33" i="3"/>
  <c r="AB10" i="3"/>
  <c r="AF11" i="7"/>
  <c r="F34" i="2"/>
  <c r="H33" i="2"/>
  <c r="AF35" i="7"/>
  <c r="AE81" i="7"/>
  <c r="AD79" i="7"/>
  <c r="AD83" i="7"/>
  <c r="AD85" i="7" s="1"/>
  <c r="AC77" i="5"/>
  <c r="AD77" i="5" s="1"/>
  <c r="AA34" i="3"/>
  <c r="AB11" i="3"/>
  <c r="AB41" i="3"/>
  <c r="AC18" i="3"/>
  <c r="AB13" i="5"/>
  <c r="AA36" i="5"/>
  <c r="AA42" i="3"/>
  <c r="AB19" i="3"/>
  <c r="AC40" i="7"/>
  <c r="AD86" i="5"/>
  <c r="AA37" i="5"/>
  <c r="AB14" i="5"/>
  <c r="R31" i="4"/>
  <c r="AB13" i="3"/>
  <c r="AA36" i="3"/>
  <c r="AA37" i="3"/>
  <c r="AB14" i="3"/>
  <c r="AA42" i="5"/>
  <c r="AB19" i="5"/>
  <c r="AE82" i="7"/>
  <c r="AE84" i="7" s="1"/>
  <c r="AB20" i="3"/>
  <c r="AA43" i="3"/>
  <c r="AC78" i="3"/>
  <c r="AB25" i="3"/>
  <c r="AA48" i="3"/>
  <c r="AB12" i="3"/>
  <c r="AA35" i="3"/>
  <c r="AC77" i="3"/>
  <c r="AA70" i="7"/>
  <c r="AA57" i="7"/>
  <c r="AA59" i="7"/>
  <c r="AC67" i="7"/>
  <c r="AC20" i="7"/>
  <c r="AC88" i="5"/>
  <c r="AC29" i="7" s="1"/>
  <c r="AC22" i="7"/>
  <c r="AC89" i="5"/>
  <c r="AC46" i="7" s="1"/>
  <c r="AB22" i="5"/>
  <c r="AA45" i="5"/>
  <c r="AB24" i="3"/>
  <c r="AA47" i="3"/>
  <c r="AA50" i="7"/>
  <c r="AF29" i="2"/>
  <c r="AG28" i="2"/>
  <c r="AA38" i="5"/>
  <c r="AB15" i="5"/>
  <c r="AD62" i="7"/>
  <c r="AD27" i="7"/>
  <c r="AD18" i="7"/>
  <c r="AD6" i="5"/>
  <c r="AE31" i="4"/>
  <c r="AC31" i="4"/>
  <c r="AB31" i="4"/>
  <c r="AH31" i="4"/>
  <c r="AC23" i="7"/>
  <c r="AC108" i="3"/>
  <c r="AB40" i="3"/>
  <c r="AC17" i="3"/>
  <c r="AB55" i="7"/>
  <c r="AB39" i="3"/>
  <c r="AC16" i="3"/>
  <c r="S31" i="2"/>
  <c r="S32" i="2" s="1"/>
  <c r="Z32" i="4"/>
  <c r="Q32" i="4"/>
  <c r="O32" i="4"/>
  <c r="AD76" i="3"/>
  <c r="AD60" i="5"/>
  <c r="AD71" i="5" s="1"/>
  <c r="AD59" i="5"/>
  <c r="AD70" i="5" s="1"/>
  <c r="AD58" i="5"/>
  <c r="AD69" i="5" s="1"/>
  <c r="AD57" i="5"/>
  <c r="AD68" i="5" s="1"/>
  <c r="AC29" i="5"/>
  <c r="AC53" i="5" s="1"/>
  <c r="AC75" i="3"/>
  <c r="AD75" i="3" s="1"/>
  <c r="AB25" i="5"/>
  <c r="AA48" i="5"/>
  <c r="O32" i="2"/>
  <c r="Z32" i="2"/>
  <c r="Q32" i="2"/>
  <c r="R32" i="2" s="1"/>
  <c r="AE5" i="3" s="1"/>
  <c r="AD82" i="7"/>
  <c r="AD84" i="7" s="1"/>
  <c r="AD59" i="3"/>
  <c r="AD70" i="3" s="1"/>
  <c r="AD57" i="3"/>
  <c r="AD68" i="3" s="1"/>
  <c r="AD58" i="3"/>
  <c r="AD69" i="3" s="1"/>
  <c r="AC29" i="3"/>
  <c r="AC53" i="3" s="1"/>
  <c r="AD60" i="3"/>
  <c r="AD71" i="3" s="1"/>
  <c r="AA34" i="5"/>
  <c r="AB11" i="5"/>
  <c r="AB17" i="5"/>
  <c r="AA40" i="5"/>
  <c r="AA51" i="7"/>
  <c r="AF29" i="4"/>
  <c r="AG28" i="4"/>
  <c r="AB46" i="5" l="1"/>
  <c r="AC23" i="5"/>
  <c r="AC69" i="7"/>
  <c r="AC49" i="7"/>
  <c r="J30" i="4"/>
  <c r="K30" i="4" s="1"/>
  <c r="AB45" i="3"/>
  <c r="AC22" i="3"/>
  <c r="AB37" i="5"/>
  <c r="AC14" i="5"/>
  <c r="D35" i="2"/>
  <c r="E34" i="2"/>
  <c r="M34" i="2"/>
  <c r="AD68" i="7"/>
  <c r="AD48" i="7"/>
  <c r="J31" i="2"/>
  <c r="K31" i="2" s="1"/>
  <c r="AD23" i="3"/>
  <c r="AC46" i="3"/>
  <c r="AB35" i="3"/>
  <c r="AC12" i="3"/>
  <c r="AB42" i="5"/>
  <c r="AC19" i="5"/>
  <c r="AD66" i="7"/>
  <c r="AD19" i="7"/>
  <c r="AD21" i="7"/>
  <c r="AD106" i="3"/>
  <c r="AD28" i="7" s="1"/>
  <c r="AD107" i="3"/>
  <c r="AD45" i="7" s="1"/>
  <c r="D35" i="4"/>
  <c r="M34" i="4"/>
  <c r="E34" i="4"/>
  <c r="AB40" i="5"/>
  <c r="AC17" i="5"/>
  <c r="AB48" i="5"/>
  <c r="AC25" i="5"/>
  <c r="AB48" i="3"/>
  <c r="AC25" i="3"/>
  <c r="AD78" i="5"/>
  <c r="AE78" i="5" s="1"/>
  <c r="AD40" i="7"/>
  <c r="AE86" i="5"/>
  <c r="AB34" i="3"/>
  <c r="AC11" i="3"/>
  <c r="AG11" i="7"/>
  <c r="F35" i="2"/>
  <c r="H34" i="2"/>
  <c r="AG35" i="7"/>
  <c r="AC18" i="5"/>
  <c r="AB41" i="5"/>
  <c r="AB8" i="7"/>
  <c r="AB10" i="7"/>
  <c r="AF86" i="3"/>
  <c r="AE92" i="3"/>
  <c r="AB35" i="5"/>
  <c r="AC12" i="5"/>
  <c r="AB44" i="5"/>
  <c r="AC21" i="5"/>
  <c r="AC21" i="3"/>
  <c r="AB44" i="3"/>
  <c r="AD5" i="5"/>
  <c r="S31" i="4"/>
  <c r="S32" i="4" s="1"/>
  <c r="AF89" i="3"/>
  <c r="AB34" i="5"/>
  <c r="AC11" i="5"/>
  <c r="AB43" i="5"/>
  <c r="AC20" i="5"/>
  <c r="AE78" i="7"/>
  <c r="AF80" i="7"/>
  <c r="AE62" i="7"/>
  <c r="AE27" i="7"/>
  <c r="AE18" i="7"/>
  <c r="AE6" i="5"/>
  <c r="AC32" i="4"/>
  <c r="AH32" i="4"/>
  <c r="AB32" i="4"/>
  <c r="AB37" i="3"/>
  <c r="AC14" i="3"/>
  <c r="AB42" i="3"/>
  <c r="AC19" i="3"/>
  <c r="AE39" i="7"/>
  <c r="AF104" i="3"/>
  <c r="AC40" i="3"/>
  <c r="AD17" i="3"/>
  <c r="AC41" i="3"/>
  <c r="AD18" i="3"/>
  <c r="R32" i="4"/>
  <c r="AE5" i="5" s="1"/>
  <c r="AB47" i="3"/>
  <c r="AC24" i="3"/>
  <c r="AD78" i="3"/>
  <c r="AE59" i="5"/>
  <c r="AE70" i="5" s="1"/>
  <c r="AE58" i="5"/>
  <c r="AE69" i="5" s="1"/>
  <c r="AD29" i="5"/>
  <c r="AD53" i="5" s="1"/>
  <c r="AE60" i="5"/>
  <c r="AE71" i="5" s="1"/>
  <c r="AE57" i="5"/>
  <c r="AE68" i="5" s="1"/>
  <c r="AB38" i="5"/>
  <c r="AC15" i="5"/>
  <c r="AC22" i="5"/>
  <c r="AB45" i="5"/>
  <c r="AB43" i="3"/>
  <c r="AC20" i="3"/>
  <c r="AB33" i="3"/>
  <c r="AC10" i="3"/>
  <c r="AC55" i="7"/>
  <c r="AD16" i="3"/>
  <c r="AC39" i="3"/>
  <c r="AB47" i="5"/>
  <c r="AC24" i="5"/>
  <c r="AE93" i="3"/>
  <c r="AF87" i="3"/>
  <c r="AE90" i="3"/>
  <c r="AC7" i="7"/>
  <c r="AC9" i="7"/>
  <c r="AD69" i="7"/>
  <c r="AD49" i="7"/>
  <c r="J31" i="4"/>
  <c r="K31" i="4" s="1"/>
  <c r="AD20" i="7"/>
  <c r="AD88" i="5"/>
  <c r="AD29" i="7" s="1"/>
  <c r="AD67" i="7"/>
  <c r="AD22" i="7"/>
  <c r="AD89" i="5"/>
  <c r="AD46" i="7" s="1"/>
  <c r="AD77" i="3"/>
  <c r="AB51" i="7"/>
  <c r="AF30" i="4"/>
  <c r="AG29" i="4"/>
  <c r="AE61" i="7"/>
  <c r="AE17" i="7"/>
  <c r="AE26" i="7"/>
  <c r="AE6" i="3"/>
  <c r="AC32" i="2"/>
  <c r="AE32" i="2" s="1"/>
  <c r="AH32" i="2"/>
  <c r="AB32" i="2"/>
  <c r="AB70" i="7"/>
  <c r="AB59" i="7"/>
  <c r="AB57" i="7"/>
  <c r="AD24" i="7"/>
  <c r="AD90" i="5"/>
  <c r="AE89" i="3"/>
  <c r="AB36" i="3"/>
  <c r="AC13" i="3"/>
  <c r="AD23" i="7"/>
  <c r="AD108" i="3"/>
  <c r="AB7" i="7"/>
  <c r="AB9" i="7"/>
  <c r="Z33" i="4"/>
  <c r="O33" i="4"/>
  <c r="Q33" i="4"/>
  <c r="R33" i="4" s="1"/>
  <c r="AF5" i="5" s="1"/>
  <c r="AD15" i="3"/>
  <c r="AC38" i="3"/>
  <c r="AB56" i="7"/>
  <c r="AB39" i="5"/>
  <c r="AC16" i="5"/>
  <c r="AD75" i="5"/>
  <c r="AB50" i="7"/>
  <c r="AF30" i="2"/>
  <c r="AG29" i="2"/>
  <c r="AB36" i="5"/>
  <c r="AC13" i="5"/>
  <c r="AF81" i="7"/>
  <c r="AE79" i="7"/>
  <c r="AE83" i="7"/>
  <c r="AE85" i="7" s="1"/>
  <c r="AE58" i="3"/>
  <c r="AE69" i="3" s="1"/>
  <c r="AE59" i="3"/>
  <c r="AE70" i="3" s="1"/>
  <c r="AD29" i="3"/>
  <c r="AD53" i="3" s="1"/>
  <c r="AE60" i="3"/>
  <c r="AE71" i="3" s="1"/>
  <c r="AE57" i="3"/>
  <c r="AE68" i="3" s="1"/>
  <c r="O33" i="2"/>
  <c r="Q33" i="2"/>
  <c r="R33" i="2" s="1"/>
  <c r="AF5" i="3" s="1"/>
  <c r="Z33" i="2"/>
  <c r="AI12" i="7"/>
  <c r="F37" i="4"/>
  <c r="H36" i="4"/>
  <c r="AI36" i="7"/>
  <c r="AB33" i="5"/>
  <c r="AC10" i="5"/>
  <c r="AA60" i="7"/>
  <c r="AA71" i="7"/>
  <c r="AA58" i="7"/>
  <c r="AE68" i="7" l="1"/>
  <c r="AE48" i="7"/>
  <c r="J32" i="2"/>
  <c r="K32" i="2" s="1"/>
  <c r="AC56" i="7"/>
  <c r="AD16" i="5"/>
  <c r="AC39" i="5"/>
  <c r="AF57" i="3"/>
  <c r="AF68" i="3" s="1"/>
  <c r="AE29" i="3"/>
  <c r="AE53" i="3" s="1"/>
  <c r="AF60" i="3"/>
  <c r="AF71" i="3" s="1"/>
  <c r="AF58" i="3"/>
  <c r="AF69" i="3" s="1"/>
  <c r="AF59" i="3"/>
  <c r="AF70" i="3" s="1"/>
  <c r="AC51" i="7"/>
  <c r="AF31" i="4"/>
  <c r="AG30" i="4"/>
  <c r="AD8" i="7"/>
  <c r="AD10" i="7"/>
  <c r="AD24" i="5"/>
  <c r="AC47" i="5"/>
  <c r="AD20" i="3"/>
  <c r="AC43" i="3"/>
  <c r="AD41" i="3"/>
  <c r="AE18" i="3"/>
  <c r="S33" i="2"/>
  <c r="S34" i="2" s="1"/>
  <c r="AC34" i="5"/>
  <c r="AD11" i="5"/>
  <c r="AC44" i="3"/>
  <c r="AD21" i="3"/>
  <c r="AD17" i="5"/>
  <c r="AC40" i="5"/>
  <c r="AD46" i="3"/>
  <c r="AE23" i="3"/>
  <c r="AC37" i="3"/>
  <c r="AD14" i="3"/>
  <c r="AD21" i="5"/>
  <c r="AC44" i="5"/>
  <c r="AF86" i="5"/>
  <c r="AE40" i="7"/>
  <c r="AD7" i="7"/>
  <c r="AD9" i="7"/>
  <c r="AC45" i="3"/>
  <c r="AD22" i="3"/>
  <c r="AC36" i="5"/>
  <c r="AD13" i="5"/>
  <c r="AE77" i="3"/>
  <c r="AF77" i="3" s="1"/>
  <c r="AC8" i="7"/>
  <c r="AC10" i="7"/>
  <c r="AD40" i="3"/>
  <c r="AE17" i="3"/>
  <c r="AD18" i="5"/>
  <c r="AC41" i="5"/>
  <c r="AC42" i="5"/>
  <c r="AD19" i="5"/>
  <c r="AD55" i="7"/>
  <c r="AD39" i="3"/>
  <c r="AE16" i="3"/>
  <c r="AC45" i="5"/>
  <c r="AD22" i="5"/>
  <c r="AE78" i="3"/>
  <c r="AF78" i="3" s="1"/>
  <c r="AE67" i="7"/>
  <c r="AE22" i="7"/>
  <c r="AE88" i="5"/>
  <c r="AE29" i="7" s="1"/>
  <c r="AE20" i="7"/>
  <c r="AE89" i="5"/>
  <c r="AE46" i="7" s="1"/>
  <c r="AG80" i="7"/>
  <c r="AF78" i="7"/>
  <c r="AD12" i="5"/>
  <c r="AC35" i="5"/>
  <c r="AF78" i="5"/>
  <c r="Z34" i="4"/>
  <c r="Q34" i="4"/>
  <c r="O34" i="4"/>
  <c r="AD38" i="3"/>
  <c r="AE15" i="3"/>
  <c r="AC38" i="5"/>
  <c r="AD15" i="5"/>
  <c r="AD24" i="3"/>
  <c r="AC47" i="3"/>
  <c r="AF39" i="7"/>
  <c r="AG104" i="3"/>
  <c r="AF60" i="5"/>
  <c r="AF71" i="5" s="1"/>
  <c r="AF58" i="5"/>
  <c r="AF69" i="5" s="1"/>
  <c r="AF59" i="5"/>
  <c r="AF70" i="5" s="1"/>
  <c r="AF57" i="5"/>
  <c r="AF68" i="5" s="1"/>
  <c r="AE29" i="5"/>
  <c r="AE53" i="5" s="1"/>
  <c r="AF82" i="7"/>
  <c r="AF84" i="7" s="1"/>
  <c r="AC48" i="3"/>
  <c r="AD25" i="3"/>
  <c r="D36" i="4"/>
  <c r="M35" i="4"/>
  <c r="E35" i="4"/>
  <c r="AE76" i="3"/>
  <c r="AF76" i="3" s="1"/>
  <c r="Z34" i="2"/>
  <c r="Q34" i="2"/>
  <c r="R34" i="2" s="1"/>
  <c r="AG5" i="3" s="1"/>
  <c r="O34" i="2"/>
  <c r="AB71" i="7"/>
  <c r="AB60" i="7"/>
  <c r="AB58" i="7"/>
  <c r="AE23" i="7"/>
  <c r="AE108" i="3"/>
  <c r="AC57" i="7"/>
  <c r="AC59" i="7"/>
  <c r="AC70" i="7"/>
  <c r="AJ12" i="7"/>
  <c r="F38" i="4"/>
  <c r="H37" i="4"/>
  <c r="AJ36" i="7"/>
  <c r="AC33" i="3"/>
  <c r="AD10" i="3"/>
  <c r="AE76" i="5"/>
  <c r="AH11" i="7"/>
  <c r="F36" i="2"/>
  <c r="H35" i="2"/>
  <c r="AH35" i="7"/>
  <c r="AF93" i="3"/>
  <c r="AG87" i="3"/>
  <c r="AF90" i="3"/>
  <c r="AD19" i="3"/>
  <c r="AC42" i="3"/>
  <c r="AD20" i="5"/>
  <c r="AC43" i="5"/>
  <c r="AG86" i="3"/>
  <c r="AF92" i="3"/>
  <c r="AD25" i="5"/>
  <c r="AC48" i="5"/>
  <c r="D36" i="2"/>
  <c r="E35" i="2"/>
  <c r="M35" i="2"/>
  <c r="AC46" i="5"/>
  <c r="AD23" i="5"/>
  <c r="AC33" i="5"/>
  <c r="AD10" i="5"/>
  <c r="AG81" i="7"/>
  <c r="AF79" i="7"/>
  <c r="AF83" i="7"/>
  <c r="AF85" i="7" s="1"/>
  <c r="AC50" i="7"/>
  <c r="AF31" i="2"/>
  <c r="AG30" i="2"/>
  <c r="AE24" i="7"/>
  <c r="AE90" i="5"/>
  <c r="S33" i="4"/>
  <c r="AD12" i="3"/>
  <c r="AC35" i="3"/>
  <c r="AF61" i="7"/>
  <c r="AF26" i="7"/>
  <c r="AF17" i="7"/>
  <c r="AF6" i="3"/>
  <c r="AE33" i="2"/>
  <c r="AC33" i="2"/>
  <c r="AB33" i="2"/>
  <c r="AH33" i="2"/>
  <c r="AE75" i="5"/>
  <c r="AF75" i="5" s="1"/>
  <c r="AF62" i="7"/>
  <c r="AF27" i="7"/>
  <c r="AF18" i="7"/>
  <c r="AF6" i="5"/>
  <c r="AC33" i="4"/>
  <c r="AH33" i="4"/>
  <c r="AB33" i="4"/>
  <c r="AC36" i="3"/>
  <c r="AD13" i="3"/>
  <c r="AE66" i="7"/>
  <c r="AE19" i="7"/>
  <c r="AE21" i="7"/>
  <c r="AE106" i="3"/>
  <c r="AE28" i="7" s="1"/>
  <c r="AE107" i="3"/>
  <c r="AE45" i="7" s="1"/>
  <c r="AE77" i="5"/>
  <c r="AF77" i="5" s="1"/>
  <c r="AE75" i="3"/>
  <c r="AF75" i="3" s="1"/>
  <c r="AE32" i="4"/>
  <c r="AD11" i="3"/>
  <c r="AC34" i="3"/>
  <c r="AC37" i="5"/>
  <c r="AD14" i="5"/>
  <c r="AH80" i="7" l="1"/>
  <c r="AG78" i="7"/>
  <c r="AE40" i="3"/>
  <c r="AF17" i="3"/>
  <c r="AE49" i="7"/>
  <c r="AE69" i="7"/>
  <c r="J32" i="4"/>
  <c r="K32" i="4" s="1"/>
  <c r="AD36" i="3"/>
  <c r="AE13" i="3"/>
  <c r="AD46" i="5"/>
  <c r="AE23" i="5"/>
  <c r="AG92" i="3"/>
  <c r="AH86" i="3"/>
  <c r="Z35" i="4"/>
  <c r="Q35" i="4"/>
  <c r="R35" i="4" s="1"/>
  <c r="AH5" i="5" s="1"/>
  <c r="O35" i="4"/>
  <c r="AD47" i="3"/>
  <c r="AE24" i="3"/>
  <c r="AE55" i="7"/>
  <c r="AE39" i="3"/>
  <c r="AF16" i="3"/>
  <c r="AF23" i="3"/>
  <c r="AE46" i="3"/>
  <c r="AD34" i="3"/>
  <c r="AE11" i="3"/>
  <c r="AD50" i="7"/>
  <c r="AG31" i="2"/>
  <c r="AF32" i="2"/>
  <c r="AH82" i="7"/>
  <c r="AH84" i="7" s="1"/>
  <c r="C90" i="7"/>
  <c r="AK12" i="7"/>
  <c r="H38" i="4"/>
  <c r="AK36" i="7"/>
  <c r="D37" i="4"/>
  <c r="E36" i="4"/>
  <c r="M36" i="4"/>
  <c r="AD38" i="5"/>
  <c r="AE15" i="5"/>
  <c r="R34" i="4"/>
  <c r="AG5" i="5" s="1"/>
  <c r="AD70" i="7"/>
  <c r="AD59" i="7"/>
  <c r="AD57" i="7"/>
  <c r="AF18" i="3"/>
  <c r="AE41" i="3"/>
  <c r="AC71" i="7"/>
  <c r="AC60" i="7"/>
  <c r="AC58" i="7"/>
  <c r="AD51" i="7"/>
  <c r="AF32" i="4"/>
  <c r="AG31" i="4"/>
  <c r="AD56" i="7"/>
  <c r="AD39" i="5"/>
  <c r="AE16" i="5"/>
  <c r="AD43" i="5"/>
  <c r="AE20" i="5"/>
  <c r="AI11" i="7"/>
  <c r="H36" i="2"/>
  <c r="F37" i="2"/>
  <c r="AI35" i="7"/>
  <c r="AG62" i="7"/>
  <c r="AG18" i="7"/>
  <c r="AG27" i="7"/>
  <c r="AE34" i="4"/>
  <c r="AG6" i="5"/>
  <c r="AB34" i="4"/>
  <c r="AC34" i="4"/>
  <c r="AH34" i="4"/>
  <c r="AF15" i="3"/>
  <c r="AE38" i="3"/>
  <c r="AG77" i="5"/>
  <c r="Q35" i="2"/>
  <c r="R35" i="2" s="1"/>
  <c r="AH5" i="3" s="1"/>
  <c r="Z35" i="2"/>
  <c r="O35" i="2"/>
  <c r="AD48" i="3"/>
  <c r="AE25" i="3"/>
  <c r="AG59" i="5"/>
  <c r="AG70" i="5" s="1"/>
  <c r="AG57" i="5"/>
  <c r="AG68" i="5" s="1"/>
  <c r="AF29" i="5"/>
  <c r="AF53" i="5" s="1"/>
  <c r="AG58" i="5"/>
  <c r="AG69" i="5" s="1"/>
  <c r="AG60" i="5"/>
  <c r="AG71" i="5" s="1"/>
  <c r="AF29" i="3"/>
  <c r="AF53" i="3" s="1"/>
  <c r="AG60" i="3"/>
  <c r="AG71" i="3" s="1"/>
  <c r="AG58" i="3"/>
  <c r="AG69" i="3" s="1"/>
  <c r="AG59" i="3"/>
  <c r="AG70" i="3" s="1"/>
  <c r="AG57" i="3"/>
  <c r="AG68" i="3" s="1"/>
  <c r="AG89" i="3"/>
  <c r="AD44" i="3"/>
  <c r="AE21" i="3"/>
  <c r="AE20" i="3"/>
  <c r="AD43" i="3"/>
  <c r="AE7" i="7"/>
  <c r="AE9" i="7"/>
  <c r="AF67" i="7"/>
  <c r="AF22" i="7"/>
  <c r="AF20" i="7"/>
  <c r="AF88" i="5"/>
  <c r="AF29" i="7" s="1"/>
  <c r="AF89" i="5"/>
  <c r="AF46" i="7" s="1"/>
  <c r="AG78" i="5"/>
  <c r="AD42" i="5"/>
  <c r="AE19" i="5"/>
  <c r="AG77" i="3"/>
  <c r="AG86" i="5"/>
  <c r="AF40" i="7"/>
  <c r="AE17" i="5"/>
  <c r="AD40" i="5"/>
  <c r="AD37" i="5"/>
  <c r="AE14" i="5"/>
  <c r="AF24" i="7"/>
  <c r="AF90" i="5"/>
  <c r="AF66" i="7"/>
  <c r="AF19" i="7"/>
  <c r="AF21" i="7"/>
  <c r="AF106" i="3"/>
  <c r="AF28" i="7" s="1"/>
  <c r="AF107" i="3"/>
  <c r="AF45" i="7" s="1"/>
  <c r="AE12" i="3"/>
  <c r="AD35" i="3"/>
  <c r="D37" i="2"/>
  <c r="E36" i="2"/>
  <c r="M36" i="2"/>
  <c r="AD42" i="3"/>
  <c r="AE19" i="3"/>
  <c r="AF76" i="5"/>
  <c r="AG76" i="5" s="1"/>
  <c r="AD36" i="5"/>
  <c r="AE13" i="5"/>
  <c r="AF23" i="7"/>
  <c r="AF108" i="3"/>
  <c r="S34" i="4"/>
  <c r="S35" i="4" s="1"/>
  <c r="AH81" i="7"/>
  <c r="AG79" i="7"/>
  <c r="AG83" i="7"/>
  <c r="AG85" i="7" s="1"/>
  <c r="AD33" i="3"/>
  <c r="AE10" i="3"/>
  <c r="AG61" i="7"/>
  <c r="AG26" i="7"/>
  <c r="AG17" i="7"/>
  <c r="AG6" i="3"/>
  <c r="AE34" i="2"/>
  <c r="AC34" i="2"/>
  <c r="AB34" i="2"/>
  <c r="AH34" i="2"/>
  <c r="AG39" i="7"/>
  <c r="AH104" i="3"/>
  <c r="AD35" i="5"/>
  <c r="AE12" i="5"/>
  <c r="AG78" i="3"/>
  <c r="AE21" i="5"/>
  <c r="AD44" i="5"/>
  <c r="AE33" i="4"/>
  <c r="AF48" i="7"/>
  <c r="AF68" i="7"/>
  <c r="J33" i="2"/>
  <c r="K33" i="2" s="1"/>
  <c r="AD33" i="5"/>
  <c r="AE10" i="5"/>
  <c r="AE25" i="5"/>
  <c r="AD48" i="5"/>
  <c r="AG93" i="3"/>
  <c r="AH87" i="3"/>
  <c r="AG90" i="3"/>
  <c r="AG76" i="3"/>
  <c r="AG82" i="7"/>
  <c r="AG84" i="7" s="1"/>
  <c r="AD45" i="5"/>
  <c r="AE22" i="5"/>
  <c r="AD41" i="5"/>
  <c r="AE18" i="5"/>
  <c r="AD45" i="3"/>
  <c r="AE22" i="3"/>
  <c r="AD37" i="3"/>
  <c r="AE14" i="3"/>
  <c r="AD34" i="5"/>
  <c r="AE11" i="5"/>
  <c r="AD47" i="5"/>
  <c r="AE24" i="5"/>
  <c r="E37" i="2" l="1"/>
  <c r="D38" i="2"/>
  <c r="M37" i="2"/>
  <c r="AG48" i="7"/>
  <c r="AG68" i="7"/>
  <c r="J34" i="2"/>
  <c r="K34" i="2" s="1"/>
  <c r="AF19" i="3"/>
  <c r="AE42" i="3"/>
  <c r="AF14" i="3"/>
  <c r="AE37" i="3"/>
  <c r="AE35" i="5"/>
  <c r="AF12" i="5"/>
  <c r="AI81" i="7"/>
  <c r="AH79" i="7"/>
  <c r="AH83" i="7"/>
  <c r="AH85" i="7" s="1"/>
  <c r="AE40" i="5"/>
  <c r="AF17" i="5"/>
  <c r="AE44" i="3"/>
  <c r="AF21" i="3"/>
  <c r="AH61" i="7"/>
  <c r="AH17" i="7"/>
  <c r="AH26" i="7"/>
  <c r="AH6" i="3"/>
  <c r="AB35" i="2"/>
  <c r="AC35" i="2"/>
  <c r="AH35" i="2"/>
  <c r="AG90" i="5"/>
  <c r="AG24" i="7"/>
  <c r="AJ11" i="7"/>
  <c r="F38" i="2"/>
  <c r="H37" i="2"/>
  <c r="AJ35" i="7"/>
  <c r="D38" i="4"/>
  <c r="E37" i="4"/>
  <c r="M37" i="4"/>
  <c r="AE50" i="7"/>
  <c r="AF33" i="2"/>
  <c r="AG32" i="2"/>
  <c r="AF55" i="7"/>
  <c r="AF39" i="3"/>
  <c r="AG16" i="3"/>
  <c r="AH39" i="7"/>
  <c r="AI104" i="3"/>
  <c r="AI87" i="3"/>
  <c r="AH93" i="3"/>
  <c r="AH90" i="3"/>
  <c r="AF7" i="7"/>
  <c r="AF9" i="7"/>
  <c r="O36" i="2"/>
  <c r="Z36" i="2"/>
  <c r="Q36" i="2"/>
  <c r="R36" i="2" s="1"/>
  <c r="AI5" i="3" s="1"/>
  <c r="AG67" i="7"/>
  <c r="AG22" i="7"/>
  <c r="AG20" i="7"/>
  <c r="AG88" i="5"/>
  <c r="AG29" i="7" s="1"/>
  <c r="AG89" i="5"/>
  <c r="AG46" i="7" s="1"/>
  <c r="AI82" i="7"/>
  <c r="AI84" i="7" s="1"/>
  <c r="AE51" i="7"/>
  <c r="AF33" i="4"/>
  <c r="AG32" i="4"/>
  <c r="AE70" i="7"/>
  <c r="AE59" i="7"/>
  <c r="AE57" i="7"/>
  <c r="AE8" i="7"/>
  <c r="AE10" i="7"/>
  <c r="AH86" i="5"/>
  <c r="AG40" i="7"/>
  <c r="AG75" i="5"/>
  <c r="AF20" i="5"/>
  <c r="AE43" i="5"/>
  <c r="AF11" i="3"/>
  <c r="AE34" i="3"/>
  <c r="AE47" i="3"/>
  <c r="AF24" i="3"/>
  <c r="AH92" i="3"/>
  <c r="AI86" i="3"/>
  <c r="AE41" i="5"/>
  <c r="AF18" i="5"/>
  <c r="AF15" i="5"/>
  <c r="AE38" i="5"/>
  <c r="AF40" i="3"/>
  <c r="AG17" i="3"/>
  <c r="AH77" i="5"/>
  <c r="AG75" i="3"/>
  <c r="AG66" i="7"/>
  <c r="AG21" i="7"/>
  <c r="AG19" i="7"/>
  <c r="AG106" i="3"/>
  <c r="AG28" i="7" s="1"/>
  <c r="AG107" i="3"/>
  <c r="AG45" i="7" s="1"/>
  <c r="AE35" i="3"/>
  <c r="AF12" i="3"/>
  <c r="AE37" i="5"/>
  <c r="AF14" i="5"/>
  <c r="AE48" i="3"/>
  <c r="AF25" i="3"/>
  <c r="AE56" i="7"/>
  <c r="AF16" i="5"/>
  <c r="AE39" i="5"/>
  <c r="AH89" i="3"/>
  <c r="S35" i="2"/>
  <c r="S36" i="2" s="1"/>
  <c r="AF23" i="5"/>
  <c r="AE46" i="5"/>
  <c r="AF24" i="5"/>
  <c r="AE47" i="5"/>
  <c r="AF69" i="7"/>
  <c r="AF49" i="7"/>
  <c r="J33" i="4"/>
  <c r="K33" i="4" s="1"/>
  <c r="AH60" i="3"/>
  <c r="AH71" i="3" s="1"/>
  <c r="AH58" i="3"/>
  <c r="AH69" i="3" s="1"/>
  <c r="AH59" i="3"/>
  <c r="AH70" i="3" s="1"/>
  <c r="AH57" i="3"/>
  <c r="AH68" i="3" s="1"/>
  <c r="AG29" i="3"/>
  <c r="AG53" i="3" s="1"/>
  <c r="AF10" i="3"/>
  <c r="AE33" i="3"/>
  <c r="AE36" i="5"/>
  <c r="AF13" i="5"/>
  <c r="AF19" i="5"/>
  <c r="AE42" i="5"/>
  <c r="AF11" i="5"/>
  <c r="AE34" i="5"/>
  <c r="AE45" i="5"/>
  <c r="AF22" i="5"/>
  <c r="AE48" i="5"/>
  <c r="AF25" i="5"/>
  <c r="AE44" i="5"/>
  <c r="AF21" i="5"/>
  <c r="AG23" i="7"/>
  <c r="AG108" i="3"/>
  <c r="AH76" i="5"/>
  <c r="AH78" i="5"/>
  <c r="AF38" i="3"/>
  <c r="AG15" i="3"/>
  <c r="AD58" i="7"/>
  <c r="AD60" i="7"/>
  <c r="AD71" i="7"/>
  <c r="Z36" i="4"/>
  <c r="O36" i="4"/>
  <c r="Q36" i="4"/>
  <c r="R36" i="4" s="1"/>
  <c r="AI5" i="5" s="1"/>
  <c r="AF22" i="3"/>
  <c r="AE45" i="3"/>
  <c r="AG69" i="7"/>
  <c r="AG49" i="7"/>
  <c r="J34" i="4"/>
  <c r="K34" i="4" s="1"/>
  <c r="AE33" i="5"/>
  <c r="AF10" i="5"/>
  <c r="AF20" i="3"/>
  <c r="AE43" i="3"/>
  <c r="AH58" i="5"/>
  <c r="AH69" i="5" s="1"/>
  <c r="AH60" i="5"/>
  <c r="AH71" i="5" s="1"/>
  <c r="AH59" i="5"/>
  <c r="AH70" i="5" s="1"/>
  <c r="AG29" i="5"/>
  <c r="AG53" i="5" s="1"/>
  <c r="AH57" i="5"/>
  <c r="AH68" i="5" s="1"/>
  <c r="AF41" i="3"/>
  <c r="AG18" i="3"/>
  <c r="AF46" i="3"/>
  <c r="AG23" i="3"/>
  <c r="AH62" i="7"/>
  <c r="AH27" i="7"/>
  <c r="AH18" i="7"/>
  <c r="AH6" i="5"/>
  <c r="AC35" i="4"/>
  <c r="AH35" i="4"/>
  <c r="AB35" i="4"/>
  <c r="AE36" i="3"/>
  <c r="AF13" i="3"/>
  <c r="AI80" i="7"/>
  <c r="AH78" i="7"/>
  <c r="AI92" i="3" l="1"/>
  <c r="AJ86" i="3"/>
  <c r="AF44" i="5"/>
  <c r="AG21" i="5"/>
  <c r="AF41" i="5"/>
  <c r="AG18" i="5"/>
  <c r="AF34" i="3"/>
  <c r="AG11" i="3"/>
  <c r="AH40" i="7"/>
  <c r="AI86" i="5"/>
  <c r="B90" i="7"/>
  <c r="AK11" i="7"/>
  <c r="H38" i="2"/>
  <c r="AK35" i="7"/>
  <c r="AG19" i="3"/>
  <c r="AF42" i="3"/>
  <c r="AF50" i="7"/>
  <c r="AF34" i="2"/>
  <c r="AG33" i="2"/>
  <c r="AG7" i="7"/>
  <c r="AG9" i="7"/>
  <c r="AI57" i="5"/>
  <c r="AI68" i="5" s="1"/>
  <c r="AI59" i="5"/>
  <c r="AI70" i="5" s="1"/>
  <c r="AH29" i="5"/>
  <c r="AH53" i="5" s="1"/>
  <c r="AI60" i="5"/>
  <c r="AI71" i="5" s="1"/>
  <c r="AI58" i="5"/>
  <c r="AI69" i="5" s="1"/>
  <c r="AF45" i="3"/>
  <c r="AG22" i="3"/>
  <c r="AF8" i="7"/>
  <c r="AF10" i="7"/>
  <c r="AF35" i="3"/>
  <c r="AG12" i="3"/>
  <c r="AH90" i="5"/>
  <c r="AH24" i="7"/>
  <c r="AH18" i="3"/>
  <c r="AG41" i="3"/>
  <c r="AF43" i="3"/>
  <c r="AG20" i="3"/>
  <c r="AI62" i="7"/>
  <c r="AI27" i="7"/>
  <c r="AI18" i="7"/>
  <c r="AI6" i="5"/>
  <c r="AC36" i="4"/>
  <c r="AB36" i="4"/>
  <c r="AH36" i="4"/>
  <c r="AF36" i="3"/>
  <c r="AG13" i="3"/>
  <c r="AF42" i="5"/>
  <c r="AG19" i="5"/>
  <c r="AF46" i="5"/>
  <c r="AG23" i="5"/>
  <c r="AF37" i="5"/>
  <c r="AG14" i="5"/>
  <c r="AH67" i="7"/>
  <c r="AH22" i="7"/>
  <c r="AH20" i="7"/>
  <c r="AH88" i="5"/>
  <c r="AH29" i="7" s="1"/>
  <c r="AH89" i="5"/>
  <c r="AH46" i="7" s="1"/>
  <c r="AG46" i="3"/>
  <c r="AH23" i="3"/>
  <c r="AG38" i="3"/>
  <c r="AH15" i="3"/>
  <c r="AF48" i="5"/>
  <c r="AG25" i="5"/>
  <c r="AF36" i="5"/>
  <c r="AG13" i="5"/>
  <c r="AH75" i="3"/>
  <c r="AI75" i="3" s="1"/>
  <c r="AH77" i="3"/>
  <c r="AG20" i="5"/>
  <c r="AF43" i="5"/>
  <c r="AI89" i="3"/>
  <c r="AI61" i="7"/>
  <c r="AI17" i="7"/>
  <c r="AI26" i="7"/>
  <c r="AE36" i="2"/>
  <c r="AI6" i="3"/>
  <c r="AH36" i="2"/>
  <c r="AB36" i="2"/>
  <c r="AC36" i="2"/>
  <c r="AI93" i="3"/>
  <c r="AJ87" i="3"/>
  <c r="AI90" i="3"/>
  <c r="AI79" i="7"/>
  <c r="AJ81" i="7"/>
  <c r="AI83" i="7"/>
  <c r="AI85" i="7" s="1"/>
  <c r="AI39" i="7"/>
  <c r="AJ104" i="3"/>
  <c r="O37" i="4"/>
  <c r="Z37" i="4"/>
  <c r="Q37" i="4"/>
  <c r="R37" i="4" s="1"/>
  <c r="AJ5" i="5" s="1"/>
  <c r="AF35" i="5"/>
  <c r="AG12" i="5"/>
  <c r="AI78" i="5"/>
  <c r="AF45" i="5"/>
  <c r="AG22" i="5"/>
  <c r="AE60" i="7"/>
  <c r="AE58" i="7"/>
  <c r="AE71" i="7"/>
  <c r="AH17" i="3"/>
  <c r="AG40" i="3"/>
  <c r="S36" i="4"/>
  <c r="AI60" i="3"/>
  <c r="AI71" i="3" s="1"/>
  <c r="AH29" i="3"/>
  <c r="AH53" i="3" s="1"/>
  <c r="AI59" i="3"/>
  <c r="AI70" i="3" s="1"/>
  <c r="AI57" i="3"/>
  <c r="AI68" i="3" s="1"/>
  <c r="AI58" i="3"/>
  <c r="AI69" i="3" s="1"/>
  <c r="AF44" i="3"/>
  <c r="AG21" i="3"/>
  <c r="AH78" i="3"/>
  <c r="AI78" i="3" s="1"/>
  <c r="AE35" i="4"/>
  <c r="AF33" i="5"/>
  <c r="AG10" i="5"/>
  <c r="AF33" i="3"/>
  <c r="AG10" i="3"/>
  <c r="AF56" i="7"/>
  <c r="AG16" i="5"/>
  <c r="AF39" i="5"/>
  <c r="AF47" i="3"/>
  <c r="AG24" i="3"/>
  <c r="AG55" i="7"/>
  <c r="AG39" i="3"/>
  <c r="AH16" i="3"/>
  <c r="E38" i="4"/>
  <c r="M38" i="4"/>
  <c r="AH23" i="7"/>
  <c r="AH108" i="3"/>
  <c r="O37" i="2"/>
  <c r="Q37" i="2"/>
  <c r="Z37" i="2"/>
  <c r="AF59" i="7"/>
  <c r="AF57" i="7"/>
  <c r="AF70" i="7"/>
  <c r="AH66" i="7"/>
  <c r="AH21" i="7"/>
  <c r="AH19" i="7"/>
  <c r="AH106" i="3"/>
  <c r="AH28" i="7" s="1"/>
  <c r="AH107" i="3"/>
  <c r="AH45" i="7" s="1"/>
  <c r="AF40" i="5"/>
  <c r="AG17" i="5"/>
  <c r="AF37" i="3"/>
  <c r="AG14" i="3"/>
  <c r="E38" i="2"/>
  <c r="M38" i="2"/>
  <c r="AI77" i="5"/>
  <c r="AH75" i="5"/>
  <c r="AI75" i="5" s="1"/>
  <c r="AJ80" i="7"/>
  <c r="AI78" i="7"/>
  <c r="AG8" i="7"/>
  <c r="AG10" i="7"/>
  <c r="AF34" i="5"/>
  <c r="AG11" i="5"/>
  <c r="AF47" i="5"/>
  <c r="AG24" i="5"/>
  <c r="AF48" i="3"/>
  <c r="AG25" i="3"/>
  <c r="AF38" i="5"/>
  <c r="AG15" i="5"/>
  <c r="AF51" i="7"/>
  <c r="AF34" i="4"/>
  <c r="AG33" i="4"/>
  <c r="AH76" i="3"/>
  <c r="AI76" i="3" s="1"/>
  <c r="AJ82" i="7"/>
  <c r="AJ84" i="7" s="1"/>
  <c r="AJ89" i="3"/>
  <c r="AE35" i="2"/>
  <c r="AH19" i="5" l="1"/>
  <c r="AG42" i="5"/>
  <c r="AH68" i="7"/>
  <c r="AH48" i="7"/>
  <c r="J35" i="2"/>
  <c r="K35" i="2" s="1"/>
  <c r="AH15" i="5"/>
  <c r="AG38" i="5"/>
  <c r="AH14" i="3"/>
  <c r="AG37" i="3"/>
  <c r="AF58" i="7"/>
  <c r="AF71" i="7"/>
  <c r="AF60" i="7"/>
  <c r="AH69" i="7"/>
  <c r="AH49" i="7"/>
  <c r="J35" i="4"/>
  <c r="K35" i="4" s="1"/>
  <c r="AI66" i="7"/>
  <c r="AI21" i="7"/>
  <c r="AI19" i="7"/>
  <c r="AI106" i="3"/>
  <c r="AI28" i="7" s="1"/>
  <c r="AI107" i="3"/>
  <c r="AI45" i="7" s="1"/>
  <c r="AH13" i="3"/>
  <c r="AG36" i="3"/>
  <c r="AG35" i="3"/>
  <c r="AH12" i="3"/>
  <c r="AG34" i="3"/>
  <c r="AH11" i="3"/>
  <c r="AH38" i="3"/>
  <c r="AI15" i="3"/>
  <c r="AG42" i="3"/>
  <c r="AH19" i="3"/>
  <c r="AG34" i="5"/>
  <c r="AH11" i="5"/>
  <c r="AG47" i="3"/>
  <c r="AH24" i="3"/>
  <c r="AG56" i="7"/>
  <c r="AG39" i="5"/>
  <c r="AH16" i="5"/>
  <c r="S37" i="4"/>
  <c r="S38" i="4" s="1"/>
  <c r="AG43" i="5"/>
  <c r="AH20" i="5"/>
  <c r="AH25" i="3"/>
  <c r="AG48" i="3"/>
  <c r="AG40" i="5"/>
  <c r="AH17" i="5"/>
  <c r="AH21" i="3"/>
  <c r="AG44" i="3"/>
  <c r="AG35" i="5"/>
  <c r="AH12" i="5"/>
  <c r="AJ79" i="7"/>
  <c r="AK81" i="7"/>
  <c r="AJ83" i="7"/>
  <c r="AJ85" i="7" s="1"/>
  <c r="AI77" i="3"/>
  <c r="AJ77" i="3" s="1"/>
  <c r="AH18" i="5"/>
  <c r="AG41" i="5"/>
  <c r="AH10" i="5"/>
  <c r="AG33" i="5"/>
  <c r="Z38" i="4"/>
  <c r="Q38" i="4"/>
  <c r="R38" i="4" s="1"/>
  <c r="AK5" i="5" s="1"/>
  <c r="O38" i="4"/>
  <c r="AJ60" i="3"/>
  <c r="AJ71" i="3" s="1"/>
  <c r="AJ59" i="3"/>
  <c r="AJ70" i="3" s="1"/>
  <c r="AJ58" i="3"/>
  <c r="AJ69" i="3" s="1"/>
  <c r="AJ57" i="3"/>
  <c r="AJ68" i="3" s="1"/>
  <c r="AI29" i="3"/>
  <c r="AI53" i="3" s="1"/>
  <c r="AH14" i="5"/>
  <c r="AG37" i="5"/>
  <c r="AJ58" i="5"/>
  <c r="AJ69" i="5" s="1"/>
  <c r="AJ57" i="5"/>
  <c r="AJ68" i="5" s="1"/>
  <c r="AJ60" i="5"/>
  <c r="AJ71" i="5" s="1"/>
  <c r="AI29" i="5"/>
  <c r="AI53" i="5" s="1"/>
  <c r="AJ59" i="5"/>
  <c r="AJ70" i="5" s="1"/>
  <c r="AG43" i="3"/>
  <c r="AH20" i="3"/>
  <c r="AK80" i="7"/>
  <c r="AK78" i="7" s="1"/>
  <c r="AJ78" i="7"/>
  <c r="AH55" i="7"/>
  <c r="AH39" i="3"/>
  <c r="AI16" i="3"/>
  <c r="AH10" i="3"/>
  <c r="AG33" i="3"/>
  <c r="AH40" i="3"/>
  <c r="AI17" i="3"/>
  <c r="AI68" i="7"/>
  <c r="AI48" i="7"/>
  <c r="J36" i="2"/>
  <c r="K36" i="2" s="1"/>
  <c r="AJ75" i="3"/>
  <c r="AH46" i="3"/>
  <c r="AI23" i="3"/>
  <c r="AI67" i="7"/>
  <c r="AI20" i="7"/>
  <c r="AI22" i="7"/>
  <c r="AI88" i="5"/>
  <c r="AI29" i="7" s="1"/>
  <c r="AI89" i="5"/>
  <c r="AI46" i="7" s="1"/>
  <c r="AK82" i="7"/>
  <c r="AK84" i="7" s="1"/>
  <c r="AG51" i="7"/>
  <c r="AG34" i="4"/>
  <c r="AF35" i="4"/>
  <c r="AJ76" i="3"/>
  <c r="AG47" i="5"/>
  <c r="AH24" i="5"/>
  <c r="AJ26" i="7"/>
  <c r="AJ17" i="7"/>
  <c r="AJ61" i="7"/>
  <c r="AJ6" i="3"/>
  <c r="AC37" i="2"/>
  <c r="AH37" i="2"/>
  <c r="AB37" i="2"/>
  <c r="AG59" i="7"/>
  <c r="AG70" i="7"/>
  <c r="AG57" i="7"/>
  <c r="AH23" i="5"/>
  <c r="AG46" i="5"/>
  <c r="AI24" i="7"/>
  <c r="AI90" i="5"/>
  <c r="AH22" i="3"/>
  <c r="AG45" i="3"/>
  <c r="AG44" i="5"/>
  <c r="AH21" i="5"/>
  <c r="AJ77" i="5"/>
  <c r="R37" i="2"/>
  <c r="AI76" i="5"/>
  <c r="AJ76" i="5" s="1"/>
  <c r="AJ62" i="7"/>
  <c r="AJ27" i="7"/>
  <c r="AJ18" i="7"/>
  <c r="AJ6" i="5"/>
  <c r="AC37" i="4"/>
  <c r="AE37" i="4" s="1"/>
  <c r="AH37" i="4"/>
  <c r="AB37" i="4"/>
  <c r="AK87" i="3"/>
  <c r="AJ93" i="3"/>
  <c r="AJ90" i="3"/>
  <c r="AG36" i="5"/>
  <c r="AH13" i="5"/>
  <c r="AE36" i="4"/>
  <c r="AI18" i="3"/>
  <c r="AH41" i="3"/>
  <c r="AG50" i="7"/>
  <c r="AF35" i="2"/>
  <c r="AG34" i="2"/>
  <c r="AI40" i="7"/>
  <c r="AJ86" i="5"/>
  <c r="AJ92" i="3"/>
  <c r="AK86" i="3"/>
  <c r="AK92" i="3" s="1"/>
  <c r="Z38" i="2"/>
  <c r="Q38" i="2"/>
  <c r="R38" i="2" s="1"/>
  <c r="AK5" i="3" s="1"/>
  <c r="O38" i="2"/>
  <c r="AH22" i="5"/>
  <c r="AG45" i="5"/>
  <c r="AJ39" i="7"/>
  <c r="AK104" i="3"/>
  <c r="AK39" i="7" s="1"/>
  <c r="AI23" i="7"/>
  <c r="AI108" i="3"/>
  <c r="AG48" i="5"/>
  <c r="AH25" i="5"/>
  <c r="AJ49" i="7" l="1"/>
  <c r="AJ69" i="7"/>
  <c r="J37" i="4"/>
  <c r="K37" i="4" s="1"/>
  <c r="AK60" i="3"/>
  <c r="AK71" i="3" s="1"/>
  <c r="AK59" i="3"/>
  <c r="AK70" i="3" s="1"/>
  <c r="AK57" i="3"/>
  <c r="AK68" i="3" s="1"/>
  <c r="AJ29" i="3"/>
  <c r="AJ53" i="3" s="1"/>
  <c r="AK58" i="3"/>
  <c r="AK69" i="3" s="1"/>
  <c r="AH47" i="5"/>
  <c r="AI24" i="5"/>
  <c r="AI55" i="7"/>
  <c r="AI39" i="3"/>
  <c r="AH33" i="5"/>
  <c r="AI10" i="5"/>
  <c r="AH34" i="5"/>
  <c r="AI11" i="5"/>
  <c r="AH35" i="3"/>
  <c r="AI12" i="3"/>
  <c r="AH37" i="3"/>
  <c r="AI14" i="3"/>
  <c r="AK93" i="3"/>
  <c r="AK90" i="3"/>
  <c r="AK61" i="7"/>
  <c r="AK26" i="7"/>
  <c r="AK17" i="7"/>
  <c r="AE38" i="2"/>
  <c r="AK6" i="3"/>
  <c r="AH38" i="2"/>
  <c r="AK29" i="3" s="1"/>
  <c r="AK53" i="3" s="1"/>
  <c r="AB38" i="2"/>
  <c r="B95" i="7"/>
  <c r="AC38" i="2"/>
  <c r="AJ67" i="7"/>
  <c r="AJ20" i="7"/>
  <c r="AJ88" i="5"/>
  <c r="AJ29" i="7" s="1"/>
  <c r="AJ22" i="7"/>
  <c r="AJ89" i="5"/>
  <c r="AJ46" i="7" s="1"/>
  <c r="AJ23" i="7"/>
  <c r="AJ108" i="3"/>
  <c r="AI7" i="7"/>
  <c r="AI9" i="7"/>
  <c r="AH70" i="7"/>
  <c r="AH57" i="7"/>
  <c r="AH59" i="7"/>
  <c r="AH8" i="7"/>
  <c r="AH10" i="7"/>
  <c r="AJ18" i="3"/>
  <c r="AI41" i="3"/>
  <c r="AK57" i="5"/>
  <c r="AK68" i="5" s="1"/>
  <c r="AK60" i="5"/>
  <c r="AK71" i="5" s="1"/>
  <c r="AK59" i="5"/>
  <c r="AK70" i="5" s="1"/>
  <c r="AJ29" i="5"/>
  <c r="AJ53" i="5" s="1"/>
  <c r="AK58" i="5"/>
  <c r="AK69" i="5" s="1"/>
  <c r="AJ5" i="3"/>
  <c r="AJ17" i="3" s="1"/>
  <c r="S37" i="2"/>
  <c r="S38" i="2" s="1"/>
  <c r="AE37" i="2"/>
  <c r="AH41" i="5"/>
  <c r="AI18" i="5"/>
  <c r="AH44" i="3"/>
  <c r="AI21" i="3"/>
  <c r="AJ78" i="3"/>
  <c r="AK78" i="3" s="1"/>
  <c r="AH42" i="3"/>
  <c r="AI19" i="3"/>
  <c r="AH38" i="5"/>
  <c r="AI15" i="5"/>
  <c r="AH7" i="7"/>
  <c r="AH9" i="7"/>
  <c r="AI49" i="7"/>
  <c r="AI69" i="7"/>
  <c r="J36" i="4"/>
  <c r="K36" i="4" s="1"/>
  <c r="AI40" i="3"/>
  <c r="AG58" i="7"/>
  <c r="AG71" i="7"/>
  <c r="AG60" i="7"/>
  <c r="AI38" i="3"/>
  <c r="AH40" i="5"/>
  <c r="AI17" i="5"/>
  <c r="AH56" i="7"/>
  <c r="AH39" i="5"/>
  <c r="AI16" i="5"/>
  <c r="AH36" i="3"/>
  <c r="AI13" i="3"/>
  <c r="AJ40" i="7"/>
  <c r="AK86" i="5"/>
  <c r="AK40" i="7" s="1"/>
  <c r="AH36" i="5"/>
  <c r="AI13" i="5"/>
  <c r="AH44" i="5"/>
  <c r="AI21" i="5"/>
  <c r="AH43" i="3"/>
  <c r="AI20" i="3"/>
  <c r="AH37" i="5"/>
  <c r="AI14" i="5"/>
  <c r="AI23" i="5"/>
  <c r="AH46" i="5"/>
  <c r="AH51" i="7"/>
  <c r="AF36" i="4"/>
  <c r="AG35" i="4"/>
  <c r="AJ78" i="5"/>
  <c r="AK78" i="5" s="1"/>
  <c r="AI46" i="3"/>
  <c r="AK62" i="7"/>
  <c r="AK27" i="7"/>
  <c r="AK18" i="7"/>
  <c r="AK6" i="5"/>
  <c r="AC38" i="4"/>
  <c r="AE38" i="4" s="1"/>
  <c r="AH38" i="4"/>
  <c r="AK29" i="5" s="1"/>
  <c r="AK53" i="5" s="1"/>
  <c r="C95" i="7"/>
  <c r="AB38" i="4"/>
  <c r="AH48" i="3"/>
  <c r="AI25" i="3"/>
  <c r="AH47" i="3"/>
  <c r="AI24" i="3"/>
  <c r="AH34" i="3"/>
  <c r="AI11" i="3"/>
  <c r="AJ24" i="7"/>
  <c r="AJ90" i="5"/>
  <c r="AK79" i="7"/>
  <c r="AK83" i="7"/>
  <c r="AK85" i="7" s="1"/>
  <c r="AH45" i="5"/>
  <c r="AI22" i="5"/>
  <c r="AH48" i="5"/>
  <c r="AI25" i="5"/>
  <c r="AH50" i="7"/>
  <c r="AG35" i="2"/>
  <c r="AF36" i="2"/>
  <c r="AH45" i="3"/>
  <c r="AI22" i="3"/>
  <c r="AJ66" i="7"/>
  <c r="AJ21" i="7"/>
  <c r="AJ19" i="7"/>
  <c r="AJ106" i="3"/>
  <c r="AJ28" i="7" s="1"/>
  <c r="AJ107" i="3"/>
  <c r="AJ45" i="7" s="1"/>
  <c r="AJ75" i="5"/>
  <c r="AK75" i="5" s="1"/>
  <c r="AK89" i="3"/>
  <c r="AI10" i="3"/>
  <c r="AH33" i="3"/>
  <c r="AH35" i="5"/>
  <c r="AI12" i="5"/>
  <c r="AH43" i="5"/>
  <c r="AI20" i="5"/>
  <c r="AI19" i="5"/>
  <c r="AH42" i="5"/>
  <c r="AK69" i="7" l="1"/>
  <c r="AK49" i="7"/>
  <c r="C93" i="7"/>
  <c r="J38" i="4"/>
  <c r="K38" i="4" s="1"/>
  <c r="AK17" i="3"/>
  <c r="AJ40" i="3"/>
  <c r="AI33" i="5"/>
  <c r="AJ10" i="5"/>
  <c r="AJ24" i="3"/>
  <c r="AI47" i="3"/>
  <c r="AI33" i="3"/>
  <c r="AJ10" i="3"/>
  <c r="AI45" i="3"/>
  <c r="AJ22" i="3"/>
  <c r="AI51" i="7"/>
  <c r="AF37" i="4"/>
  <c r="AG36" i="4"/>
  <c r="AJ21" i="5"/>
  <c r="AI44" i="5"/>
  <c r="AI56" i="7"/>
  <c r="AI39" i="5"/>
  <c r="AJ16" i="5"/>
  <c r="AJ21" i="3"/>
  <c r="AI44" i="3"/>
  <c r="AK76" i="5"/>
  <c r="AK66" i="7"/>
  <c r="C51" i="6"/>
  <c r="C49" i="6"/>
  <c r="F50" i="6"/>
  <c r="F48" i="6"/>
  <c r="E50" i="6"/>
  <c r="E48" i="6"/>
  <c r="E51" i="6"/>
  <c r="E49" i="6"/>
  <c r="AK19" i="7"/>
  <c r="C48" i="6"/>
  <c r="D51" i="6"/>
  <c r="D49" i="6"/>
  <c r="AK21" i="7"/>
  <c r="D48" i="6"/>
  <c r="F51" i="6"/>
  <c r="D50" i="6"/>
  <c r="C50" i="6"/>
  <c r="F49" i="6"/>
  <c r="AK106" i="3"/>
  <c r="AK28" i="7" s="1"/>
  <c r="AK107" i="3"/>
  <c r="AK45" i="7" s="1"/>
  <c r="B97" i="7"/>
  <c r="B96" i="7"/>
  <c r="AI37" i="3"/>
  <c r="AJ14" i="3"/>
  <c r="AI70" i="7"/>
  <c r="AI57" i="7"/>
  <c r="AI59" i="7"/>
  <c r="AK24" i="7"/>
  <c r="AK90" i="5"/>
  <c r="AJ13" i="3"/>
  <c r="AI36" i="3"/>
  <c r="AJ15" i="3"/>
  <c r="AJ13" i="5"/>
  <c r="AI36" i="5"/>
  <c r="AJ16" i="3"/>
  <c r="AH71" i="7"/>
  <c r="AH58" i="7"/>
  <c r="AH60" i="7"/>
  <c r="AI42" i="5"/>
  <c r="AJ19" i="5"/>
  <c r="AI50" i="7"/>
  <c r="AF37" i="2"/>
  <c r="AG36" i="2"/>
  <c r="AI41" i="5"/>
  <c r="AJ18" i="5"/>
  <c r="AI43" i="5"/>
  <c r="AJ20" i="5"/>
  <c r="AK67" i="7"/>
  <c r="C58" i="6"/>
  <c r="C56" i="6"/>
  <c r="AK20" i="7"/>
  <c r="F57" i="6"/>
  <c r="F55" i="6"/>
  <c r="AK88" i="5"/>
  <c r="AK29" i="7" s="1"/>
  <c r="E57" i="6"/>
  <c r="E55" i="6"/>
  <c r="E58" i="6"/>
  <c r="E56" i="6"/>
  <c r="C55" i="6"/>
  <c r="F58" i="6"/>
  <c r="D58" i="6"/>
  <c r="AK22" i="7"/>
  <c r="D56" i="6"/>
  <c r="D55" i="6"/>
  <c r="C57" i="6"/>
  <c r="F56" i="6"/>
  <c r="D57" i="6"/>
  <c r="AK89" i="5"/>
  <c r="AK46" i="7" s="1"/>
  <c r="C96" i="7"/>
  <c r="C97" i="7"/>
  <c r="AI46" i="5"/>
  <c r="AJ23" i="5"/>
  <c r="AJ17" i="5"/>
  <c r="AI40" i="5"/>
  <c r="AI38" i="5"/>
  <c r="AJ15" i="5"/>
  <c r="AK48" i="7"/>
  <c r="AK68" i="7"/>
  <c r="B93" i="7"/>
  <c r="J38" i="2"/>
  <c r="K38" i="2" s="1"/>
  <c r="AJ12" i="3"/>
  <c r="AI35" i="3"/>
  <c r="AJ41" i="3"/>
  <c r="AK18" i="3"/>
  <c r="AJ25" i="3"/>
  <c r="AI48" i="3"/>
  <c r="AJ23" i="3"/>
  <c r="AJ14" i="5"/>
  <c r="AI37" i="5"/>
  <c r="AK76" i="3"/>
  <c r="AK75" i="3"/>
  <c r="AJ8" i="7"/>
  <c r="AJ10" i="7"/>
  <c r="AJ20" i="3"/>
  <c r="AI43" i="3"/>
  <c r="AI8" i="7"/>
  <c r="AI10" i="7"/>
  <c r="AJ22" i="5"/>
  <c r="AI45" i="5"/>
  <c r="AI35" i="5"/>
  <c r="AJ12" i="5"/>
  <c r="AJ25" i="5"/>
  <c r="AI48" i="5"/>
  <c r="AI34" i="3"/>
  <c r="AJ11" i="3"/>
  <c r="AK77" i="3"/>
  <c r="AK77" i="5"/>
  <c r="AI42" i="3"/>
  <c r="AJ19" i="3"/>
  <c r="AJ68" i="7"/>
  <c r="AJ48" i="7"/>
  <c r="J37" i="2"/>
  <c r="K37" i="2" s="1"/>
  <c r="AI34" i="5"/>
  <c r="AJ11" i="5"/>
  <c r="AI47" i="5"/>
  <c r="AJ24" i="5"/>
  <c r="AK23" i="7"/>
  <c r="AK108" i="3"/>
  <c r="AJ36" i="3" l="1"/>
  <c r="AK13" i="3"/>
  <c r="AJ51" i="7"/>
  <c r="AF38" i="4"/>
  <c r="AG37" i="4"/>
  <c r="AJ33" i="5"/>
  <c r="AK10" i="5"/>
  <c r="AJ34" i="5"/>
  <c r="AK11" i="5"/>
  <c r="AJ50" i="7"/>
  <c r="AF38" i="2"/>
  <c r="AG37" i="2"/>
  <c r="AJ56" i="7"/>
  <c r="AJ39" i="5"/>
  <c r="AK16" i="5"/>
  <c r="AJ45" i="3"/>
  <c r="AK22" i="3"/>
  <c r="AJ34" i="3"/>
  <c r="AK11" i="3"/>
  <c r="AJ48" i="5"/>
  <c r="AK25" i="5"/>
  <c r="AJ43" i="3"/>
  <c r="AK20" i="3"/>
  <c r="AJ42" i="3"/>
  <c r="AK19" i="3"/>
  <c r="AJ35" i="5"/>
  <c r="AK12" i="5"/>
  <c r="AK25" i="3"/>
  <c r="AJ48" i="3"/>
  <c r="AJ41" i="5"/>
  <c r="AK18" i="5"/>
  <c r="AJ44" i="3"/>
  <c r="AK21" i="3"/>
  <c r="AJ47" i="5"/>
  <c r="AK24" i="5"/>
  <c r="C22" i="6"/>
  <c r="AK41" i="3"/>
  <c r="C8" i="6" s="1"/>
  <c r="AJ38" i="5"/>
  <c r="AK15" i="5"/>
  <c r="AJ55" i="7"/>
  <c r="AJ39" i="3"/>
  <c r="AK16" i="3"/>
  <c r="AI71" i="7"/>
  <c r="AI58" i="7"/>
  <c r="AI60" i="7"/>
  <c r="F21" i="6"/>
  <c r="AK40" i="3"/>
  <c r="F7" i="6" s="1"/>
  <c r="AJ33" i="3"/>
  <c r="AK10" i="3"/>
  <c r="C99" i="7"/>
  <c r="AK8" i="7"/>
  <c r="F43" i="6"/>
  <c r="F41" i="6"/>
  <c r="C100" i="7"/>
  <c r="D42" i="6"/>
  <c r="C44" i="6"/>
  <c r="E43" i="6"/>
  <c r="C41" i="6"/>
  <c r="F44" i="6"/>
  <c r="C43" i="6"/>
  <c r="C42" i="6"/>
  <c r="E41" i="6"/>
  <c r="D41" i="6"/>
  <c r="F42" i="6"/>
  <c r="D43" i="6"/>
  <c r="D44" i="6"/>
  <c r="E44" i="6"/>
  <c r="E42" i="6"/>
  <c r="AK10" i="7"/>
  <c r="AK22" i="5"/>
  <c r="AJ45" i="5"/>
  <c r="AJ35" i="3"/>
  <c r="AK12" i="3"/>
  <c r="AJ7" i="7"/>
  <c r="AJ9" i="7"/>
  <c r="AJ37" i="5"/>
  <c r="AK14" i="5"/>
  <c r="B99" i="7"/>
  <c r="AK7" i="7"/>
  <c r="C37" i="6"/>
  <c r="E36" i="6"/>
  <c r="F36" i="6"/>
  <c r="E37" i="6"/>
  <c r="F35" i="6"/>
  <c r="AK9" i="7"/>
  <c r="B100" i="7"/>
  <c r="F34" i="6"/>
  <c r="E35" i="6"/>
  <c r="D35" i="6"/>
  <c r="C34" i="6"/>
  <c r="D34" i="6"/>
  <c r="C35" i="6"/>
  <c r="E34" i="6"/>
  <c r="F37" i="6"/>
  <c r="D37" i="6"/>
  <c r="D36" i="6"/>
  <c r="C36" i="6"/>
  <c r="AJ46" i="5"/>
  <c r="AK23" i="5"/>
  <c r="AJ42" i="5"/>
  <c r="AK19" i="5"/>
  <c r="AJ38" i="3"/>
  <c r="AK15" i="3"/>
  <c r="AJ37" i="3"/>
  <c r="AK14" i="3"/>
  <c r="AJ44" i="5"/>
  <c r="AK21" i="5"/>
  <c r="AJ40" i="5"/>
  <c r="AK17" i="5"/>
  <c r="AJ36" i="5"/>
  <c r="AK13" i="5"/>
  <c r="AJ46" i="3"/>
  <c r="AK23" i="3"/>
  <c r="AJ43" i="5"/>
  <c r="AK20" i="5"/>
  <c r="AJ47" i="3"/>
  <c r="AK24" i="3"/>
  <c r="F27" i="6" l="1"/>
  <c r="AK36" i="5"/>
  <c r="F13" i="6" s="1"/>
  <c r="E23" i="6"/>
  <c r="AK47" i="3"/>
  <c r="E9" i="6" s="1"/>
  <c r="AK40" i="5"/>
  <c r="F14" i="6" s="1"/>
  <c r="F28" i="6"/>
  <c r="D28" i="6"/>
  <c r="AK38" i="5"/>
  <c r="D14" i="6" s="1"/>
  <c r="C29" i="6"/>
  <c r="AK41" i="5"/>
  <c r="C15" i="6" s="1"/>
  <c r="E22" i="6"/>
  <c r="AK43" i="3"/>
  <c r="E8" i="6" s="1"/>
  <c r="AK56" i="7"/>
  <c r="E28" i="6"/>
  <c r="AK39" i="5"/>
  <c r="C27" i="6"/>
  <c r="AK33" i="5"/>
  <c r="C13" i="6" s="1"/>
  <c r="D21" i="6"/>
  <c r="AK38" i="3"/>
  <c r="D7" i="6" s="1"/>
  <c r="C30" i="6"/>
  <c r="AK45" i="5"/>
  <c r="C16" i="6" s="1"/>
  <c r="AJ71" i="7"/>
  <c r="AJ60" i="7"/>
  <c r="AJ58" i="7"/>
  <c r="AK42" i="5"/>
  <c r="D15" i="6" s="1"/>
  <c r="D29" i="6"/>
  <c r="C28" i="6"/>
  <c r="AK37" i="5"/>
  <c r="C14" i="6" s="1"/>
  <c r="C94" i="7"/>
  <c r="AK51" i="7"/>
  <c r="AG38" i="4"/>
  <c r="AK48" i="5"/>
  <c r="F16" i="6" s="1"/>
  <c r="F30" i="6"/>
  <c r="F23" i="6"/>
  <c r="AK48" i="3"/>
  <c r="F9" i="6" s="1"/>
  <c r="E29" i="6"/>
  <c r="AK43" i="5"/>
  <c r="E15" i="6" s="1"/>
  <c r="F29" i="6"/>
  <c r="AK44" i="5"/>
  <c r="F15" i="6" s="1"/>
  <c r="D30" i="6"/>
  <c r="AK46" i="5"/>
  <c r="D16" i="6" s="1"/>
  <c r="E27" i="6"/>
  <c r="AK35" i="5"/>
  <c r="E13" i="6" s="1"/>
  <c r="D20" i="6"/>
  <c r="AK34" i="3"/>
  <c r="D6" i="6" s="1"/>
  <c r="AK55" i="7"/>
  <c r="C65" i="6" s="1"/>
  <c r="E21" i="6"/>
  <c r="AK39" i="3"/>
  <c r="F20" i="6"/>
  <c r="AK36" i="3"/>
  <c r="F6" i="6" s="1"/>
  <c r="E30" i="6"/>
  <c r="AK47" i="5"/>
  <c r="E16" i="6" s="1"/>
  <c r="B94" i="7"/>
  <c r="AK50" i="7"/>
  <c r="AG38" i="2"/>
  <c r="D23" i="6"/>
  <c r="AK46" i="3"/>
  <c r="D9" i="6" s="1"/>
  <c r="C21" i="6"/>
  <c r="AK37" i="3"/>
  <c r="C7" i="6" s="1"/>
  <c r="E20" i="6"/>
  <c r="AK35" i="3"/>
  <c r="E6" i="6" s="1"/>
  <c r="C20" i="6"/>
  <c r="AK33" i="3"/>
  <c r="C6" i="6" s="1"/>
  <c r="AJ70" i="7"/>
  <c r="AJ57" i="7"/>
  <c r="AJ59" i="7"/>
  <c r="F22" i="6"/>
  <c r="AK44" i="3"/>
  <c r="F8" i="6" s="1"/>
  <c r="D22" i="6"/>
  <c r="AK42" i="3"/>
  <c r="D8" i="6" s="1"/>
  <c r="C23" i="6"/>
  <c r="AK45" i="3"/>
  <c r="C9" i="6" s="1"/>
  <c r="D27" i="6"/>
  <c r="AK34" i="5"/>
  <c r="D13" i="6" s="1"/>
  <c r="B102" i="7" l="1"/>
  <c r="B101" i="7"/>
  <c r="AK70" i="7"/>
  <c r="AK57" i="7"/>
  <c r="AK59" i="7"/>
  <c r="E7" i="6"/>
  <c r="C102" i="7"/>
  <c r="AK71" i="7"/>
  <c r="AK60" i="7"/>
  <c r="C101" i="7"/>
  <c r="AK58" i="7"/>
  <c r="E14" i="6"/>
</calcChain>
</file>

<file path=xl/sharedStrings.xml><?xml version="1.0" encoding="utf-8"?>
<sst xmlns="http://schemas.openxmlformats.org/spreadsheetml/2006/main" count="1804" uniqueCount="842">
  <si>
    <t xml:space="preserve">MODELLO QUANTITATIVO DELLA PROPOSTA DI RIFORMA PENSIONISTICA </t>
  </si>
  <si>
    <t>Foglio dei parametri — celle gialle = ipotesi chiave; celle verdi = parametri aggiunti rispetto a v1</t>
  </si>
  <si>
    <t>Parametro</t>
  </si>
  <si>
    <t>Valore</t>
  </si>
  <si>
    <t>Unità</t>
  </si>
  <si>
    <t>Note metodologiche</t>
  </si>
  <si>
    <t>Fonte</t>
  </si>
  <si>
    <t>DEMOGRAFIA E MACRO</t>
  </si>
  <si>
    <t>Anno iniziale</t>
  </si>
  <si>
    <t>anno</t>
  </si>
  <si>
    <t>Anno di partenza simulazione</t>
  </si>
  <si>
    <t>RGS 26/2025</t>
  </si>
  <si>
    <t>Orizzonte temporale</t>
  </si>
  <si>
    <t>anni</t>
  </si>
  <si>
    <t>2027-2060: copertura completa fino al picco demografico e discesa</t>
  </si>
  <si>
    <t>RGS 26/2025 — orizzonte a 2060</t>
  </si>
  <si>
    <t>Pensionati distinti (anno 0)</t>
  </si>
  <si>
    <t>mln</t>
  </si>
  <si>
    <t>Pensionati fisici al 31/12/2026 ≈ 17.0 mln — crescita ~0.5 mln/anno da 16.3 (INPS flussi)</t>
  </si>
  <si>
    <t>INPS Osservatorio 2024 + stima flusso 2025-2026</t>
  </si>
  <si>
    <t>Pensioni vigenti (anno 0)</t>
  </si>
  <si>
    <t>Pensioni vigenti al 1.1.2027 ≈ 22.3 mln (+1 mln da 21.3 nel 2024, flusso netto ~500k/anno)</t>
  </si>
  <si>
    <t>INPS Osservatorio Pensioni Vigenti 2024 + stima flusso</t>
  </si>
  <si>
    <t>Cumulo medio pensioni/pensionato</t>
  </si>
  <si>
    <t>n</t>
  </si>
  <si>
    <t>21,3/16,3 = 1,31 — strutturale (vecchiaia+reversibilità)</t>
  </si>
  <si>
    <t>INPS Casellario 31/12/2024</t>
  </si>
  <si>
    <t>Occupati dipendenti privati (FPLD)</t>
  </si>
  <si>
    <t>Perimetro Livello 1 base</t>
  </si>
  <si>
    <t>INPS-FPLD 2024</t>
  </si>
  <si>
    <t>Occupati dipendenti pubblici (CTPS)</t>
  </si>
  <si>
    <t>Pubblici impiegati gestione separata CTPS</t>
  </si>
  <si>
    <t>INPS CTPS 2024</t>
  </si>
  <si>
    <t>Totale occupati Livello 1</t>
  </si>
  <si>
    <t>Dipendenti privati + pubblici — perimetro modello base</t>
  </si>
  <si>
    <t>Somma</t>
  </si>
  <si>
    <t>Crescita reale pensioni vigenti</t>
  </si>
  <si>
    <t>%/anno</t>
  </si>
  <si>
    <t>AGGIORNATO +0.6%/anno: baby boom 2027-2036 acc. ingresso (AR2024: dep.ratio +7.2pp in 2022-2040)</t>
  </si>
  <si>
    <t>AR2024 Table 2 + RGS 26/2025 demografia</t>
  </si>
  <si>
    <t>Crescita reale occupati (al netto migrazione)</t>
  </si>
  <si>
    <t>Trend demografico ISTAT base 2024</t>
  </si>
  <si>
    <t>ISTAT</t>
  </si>
  <si>
    <t>Migrazione netta annua (scenario RGS)</t>
  </si>
  <si>
    <t>persone/anno</t>
  </si>
  <si>
    <t>AGGIORNATO: RGS 26/2025 usa 176k netti/anno scenario base (AR2024 Eurostat: 270k ottimistico)</t>
  </si>
  <si>
    <t>RGS 26/2025 scenario base migrazione</t>
  </si>
  <si>
    <t>Quota migranti in età lavorativa</t>
  </si>
  <si>
    <t>%</t>
  </si>
  <si>
    <t>Stima Moressa: ~70% migranti sono 25-54</t>
  </si>
  <si>
    <t>Moressa XV Rapporto 2025</t>
  </si>
  <si>
    <t>Effetto netto su occupati (mln/anno)</t>
  </si>
  <si>
    <t>mln/anno</t>
  </si>
  <si>
    <t>165k × 70% = 115,5k nuovi occupati lordi annui</t>
  </si>
  <si>
    <t>Derivato</t>
  </si>
  <si>
    <t>PIL reale anno 0</t>
  </si>
  <si>
    <t>€mld</t>
  </si>
  <si>
    <t>PIL reale 2027 (€mld): 2184*(1.006)*(1.007)*(1.008)≈2237 — DEF 2025 g=0.8% in 2027</t>
  </si>
  <si>
    <t>ISTAT contabilità nazionale 2024 + DEF 2025</t>
  </si>
  <si>
    <t>Crescita reale PIL (g)</t>
  </si>
  <si>
    <t>CONFERMATA: DEF 2025 +0.8% nel 2027; AR2024 usa 0.8% trend produttività strutturale</t>
  </si>
  <si>
    <t>DEF 2025 + Ageing Report 2024 macro assumptions</t>
  </si>
  <si>
    <t>Salario imponibile medio</t>
  </si>
  <si>
    <t>€/anno</t>
  </si>
  <si>
    <t>AGGIORNATO: salario imponibile medio 2027 ≈ 26.700€ (26.000 nel 2024 + 3 anni × +0.2% reale)</t>
  </si>
  <si>
    <t>INPS FPLD 2024 + Eurostat ILC_DI03 growth trend</t>
  </si>
  <si>
    <t>Crescita reale salari (g_w)</t>
  </si>
  <si>
    <t>CORRETTO dal +0,5% v1 a +0,05%: Eurostat ILC_DI03 mostra reale NEGATIVO per coorti attive 2005-2024</t>
  </si>
  <si>
    <t>Eurostat ILC_DI03 + HICP 2005-2024</t>
  </si>
  <si>
    <t>SISTEMA ATTUALE (PAYG)</t>
  </si>
  <si>
    <t>Aliquota contributiva (dipendenti)</t>
  </si>
  <si>
    <t>9,19% lavoratore + 23,81% datore</t>
  </si>
  <si>
    <t>INPS aliquote 2024</t>
  </si>
  <si>
    <t>Pensione media mensile (singola prestazione)</t>
  </si>
  <si>
    <t>€/mese</t>
  </si>
  <si>
    <t>AGGIORNATO: importo medio della SINGOLA prestazione (era 1.350 = pens. di vecchiaia)</t>
  </si>
  <si>
    <t>INPS Osservatorio 2024 — Q5 Bertonelli</t>
  </si>
  <si>
    <t>Reddito medio del pensionato</t>
  </si>
  <si>
    <t>22.331 €/anno / 13 — somma 1,41 pensioni cumulate</t>
  </si>
  <si>
    <t>INPS Casellario 2024</t>
  </si>
  <si>
    <t>Mensilità annue</t>
  </si>
  <si>
    <t>Standard previdenziale italiano</t>
  </si>
  <si>
    <t>Norma</t>
  </si>
  <si>
    <t>Età pensionabile legale</t>
  </si>
  <si>
    <t>Vecchiaia 2026 (Riforma Fornero)</t>
  </si>
  <si>
    <t>L. 214/2011</t>
  </si>
  <si>
    <t>Età pensionabile effettiva</t>
  </si>
  <si>
    <t>AGGIUNTA: età effettiva media INPS 2024 (privati+autonomi)</t>
  </si>
  <si>
    <t>INPS XXIV Rapporto 2025</t>
  </si>
  <si>
    <t>Coefficiente trasformazione a 67 anni</t>
  </si>
  <si>
    <t>AGGIORNATO 5,723%→5,608% biennio 2025-2026</t>
  </si>
  <si>
    <t>DM MEF 20/11/2024</t>
  </si>
  <si>
    <t>Spesa PAYG/PIL anno 0 (status quo)</t>
  </si>
  <si>
    <t>AGGIORNATO 16.0% al 2027: interp. AR2024 15.4%(2024)→16.6%(2030), RGS conferma 15.4% 2024</t>
  </si>
  <si>
    <t>AR2024 Table 6 + RGS 26/2025</t>
  </si>
  <si>
    <t>Spesa PAYG/PIL picco 2040</t>
  </si>
  <si>
    <t>Picco 17.1% al 2040 CONFERMATO da RGS 26/2025; AR2024 mostra 17.3% al 2036 con schema diverso</t>
  </si>
  <si>
    <t>RGS 26/2025 + AR2024 Table 6</t>
  </si>
  <si>
    <t>Spesa PAYG/PIL fine orizzonte (2060)</t>
  </si>
  <si>
    <t>AGGIORNATO 14.1% al 2060: RGS 26/2025 esplicito (sostituisce 14.0% al 2070 della v3)</t>
  </si>
  <si>
    <t>RGS 26/2025 pag.14 esplicito</t>
  </si>
  <si>
    <t>Anno picco spesa/PIL</t>
  </si>
  <si>
    <t>Anno picco CONFERMATO 2040 per RGS 26/2025 (AR2024: 2036, schema leggermente diverso)</t>
  </si>
  <si>
    <t>Anno fine orizzonte</t>
  </si>
  <si>
    <t>Fine previsione: 2060 — raccordo con RGS 26/2025 (14.1% PIL) e AR2024 (13.7% PIL)</t>
  </si>
  <si>
    <t>RGS 26/2025 + AR2024</t>
  </si>
  <si>
    <t>PILASTRO 0 — SUSSIDIO UNIVERSALE</t>
  </si>
  <si>
    <t>P0 base mensile (B)</t>
  </si>
  <si>
    <t>Sopra soglia povertà ISTAT (€598 Nord)</t>
  </si>
  <si>
    <t>Calibrazione propria</t>
  </si>
  <si>
    <t>Aliquota di taper (t)</t>
  </si>
  <si>
    <t>EMRT 52% nella zona di taper</t>
  </si>
  <si>
    <t>Ingles-Stewart 2017 (Australia)</t>
  </si>
  <si>
    <t>Cap reddito totale</t>
  </si>
  <si>
    <t>P0=0 oltre B/t = 1.250</t>
  </si>
  <si>
    <t>B/t</t>
  </si>
  <si>
    <t>Franchigia patrimoniale</t>
  </si>
  <si>
    <t>€</t>
  </si>
  <si>
    <t>Patrimonio escluso dal deemed rate</t>
  </si>
  <si>
    <t>Modello AU/UK</t>
  </si>
  <si>
    <t>Deemed rate</t>
  </si>
  <si>
    <t>Rendimento figurativo (era 7,8% AU post-2017, ridotto)</t>
  </si>
  <si>
    <t>Cilibrato vs AU</t>
  </si>
  <si>
    <t>P0 medio mensile a regime (calcolato)</t>
  </si>
  <si>
    <t>Si aggiorna se cambi r_fondi</t>
  </si>
  <si>
    <t>Anni per phase-in P0 (sostituz. PAYG)</t>
  </si>
  <si>
    <t>RIDOTTO 50→35: tasso flusso nuovi pensionati ~3,7%/anno</t>
  </si>
  <si>
    <t>Bilanciato su 600k/16 mln</t>
  </si>
  <si>
    <t>Nuovi pensionati l'anno (flusso)</t>
  </si>
  <si>
    <t>2026-2030</t>
  </si>
  <si>
    <t>INPS Flussi Pensionamento</t>
  </si>
  <si>
    <t>2031-2037</t>
  </si>
  <si>
    <t>2038-2050</t>
  </si>
  <si>
    <t>PILASTRO 2 E BRDP — biforcazione contributiva</t>
  </si>
  <si>
    <t>Quota biforcazione Fase I (totale)</t>
  </si>
  <si>
    <t>Anni 1-10: 6% totale di cui 2 BRDP + 4 P2</t>
  </si>
  <si>
    <t>Quota BRDP Fase I</t>
  </si>
  <si>
    <t>Anni 1-10</t>
  </si>
  <si>
    <t>Quota P2 Fase I</t>
  </si>
  <si>
    <t>Quota biforcazione Fase II (totale)</t>
  </si>
  <si>
    <t>Anni 11-20: 8% totale di cui 2 BRDP + 6 P2</t>
  </si>
  <si>
    <t>Calibrazione</t>
  </si>
  <si>
    <t>Quota BRDP Fase II</t>
  </si>
  <si>
    <t xml:space="preserve">Anni 11-20 </t>
  </si>
  <si>
    <t>Quota P2 Fase II</t>
  </si>
  <si>
    <t>Quota biforcazione Fase III</t>
  </si>
  <si>
    <t>Anni 21-30: 0 BRDP + 10 P2 (Save More Tomorrow escalation)</t>
  </si>
  <si>
    <t>Thaler-Benartzi 2004 framing</t>
  </si>
  <si>
    <t>Lavoratori under 40 (anno 1)</t>
  </si>
  <si>
    <t>% sulla forza lavoro perimetro</t>
  </si>
  <si>
    <t>ISTAT struttura forza lavoro 2024</t>
  </si>
  <si>
    <t>Lavoratori under 50 (dall'anno 5)</t>
  </si>
  <si>
    <t>Tutti i lavoratori (anno 30)</t>
  </si>
  <si>
    <t>Coorti vecchie uscite</t>
  </si>
  <si>
    <t>Rendimento reale fondi P2 (r_fondi) — base</t>
  </si>
  <si>
    <t>RIDOTTO 5%→4%: realistico portafoglio 60/40 net of fees</t>
  </si>
  <si>
    <t>OECD Pensions at a Glance 2025</t>
  </si>
  <si>
    <t>Rendimento reale fondi P2 — scenario molto avverso</t>
  </si>
  <si>
    <t>Da modellare in sensitivity</t>
  </si>
  <si>
    <t>OECD</t>
  </si>
  <si>
    <t>Rendimento reale fondi P2 — scenario avverso</t>
  </si>
  <si>
    <t>Rendimento reale fondi P2 — scenario ottimista</t>
  </si>
  <si>
    <t>Anni di carriera tipica P2</t>
  </si>
  <si>
    <t>Per calcolo montante lavoratore tipo</t>
  </si>
  <si>
    <t>INPS Osservatorio carriere</t>
  </si>
  <si>
    <t>Coefficiente trasformazione P2 (a 67)</t>
  </si>
  <si>
    <t>Aggiornato DM MEF 11/2024</t>
  </si>
  <si>
    <t>Spread reale BRDP (su HICP)</t>
  </si>
  <si>
    <t>AUMENTATO da 0,75% a 1,5% — necessario per appetibilità senza coercizione</t>
  </si>
  <si>
    <t>Confronto BTPi 25y</t>
  </si>
  <si>
    <t>Rendimento PAYG implicito (n+g_w)</t>
  </si>
  <si>
    <t>AGGIORNATO: n≈0 + g_w 0,05%</t>
  </si>
  <si>
    <t>Aaron 1966 applicato a Italia 2024</t>
  </si>
  <si>
    <t>% portafoglio fondi assorbita da BRDP (coercitivo)</t>
  </si>
  <si>
    <t>AUMENTATO 20%→30% con quota OBBLIGATORIA modello PPM-svedese</t>
  </si>
  <si>
    <t>Tuo input + Cile 2008</t>
  </si>
  <si>
    <t>TASSAZIONE TEE / EET</t>
  </si>
  <si>
    <t>Aliquota IRPEF media (su contributi)</t>
  </si>
  <si>
    <t>Aliquota marginale media lavoratori</t>
  </si>
  <si>
    <t>MEF dichiarazioni 2024</t>
  </si>
  <si>
    <t>Imposta conversione una tantum</t>
  </si>
  <si>
    <t>Sotto 15% std EET (incentivo)</t>
  </si>
  <si>
    <t>% stock fondi che converte</t>
  </si>
  <si>
    <t>RIDOTTO 50%→30%: realistico data composizione anziani/giovani</t>
  </si>
  <si>
    <t>Stima conservativa</t>
  </si>
  <si>
    <t>Patrimonio fondi pensione anno 0</t>
  </si>
  <si>
    <t>AGGIORNATO a fine 2024</t>
  </si>
  <si>
    <t>COVIP Relazione 2024</t>
  </si>
  <si>
    <t>Anni finestra conversione</t>
  </si>
  <si>
    <t>Periodo erogazione una tantum</t>
  </si>
  <si>
    <t>LEVA C — ETÀ PENSIONABILE</t>
  </si>
  <si>
    <t>Età pensionabile attuale</t>
  </si>
  <si>
    <t>Vecchiaia 2026</t>
  </si>
  <si>
    <t>Età pensionabile target</t>
  </si>
  <si>
    <t>+2 anni a 69 entro 2045</t>
  </si>
  <si>
    <t>Risparmio chiusura deroghe</t>
  </si>
  <si>
    <t>€mld/anno</t>
  </si>
  <si>
    <t>Quota 103, APe, Opzione Donna — immediato</t>
  </si>
  <si>
    <t>UPB-INPS 2022</t>
  </si>
  <si>
    <t>Risparmio età +2 a regime (anno 15+)</t>
  </si>
  <si>
    <t>Stima 8-10 mld a regime</t>
  </si>
  <si>
    <t>RGS-UPB</t>
  </si>
  <si>
    <t>Anni per regime Leva C</t>
  </si>
  <si>
    <t>Phase-in lineare</t>
  </si>
  <si>
    <t>LEVA E — CREDITI FIGLI</t>
  </si>
  <si>
    <t>Nascite annue</t>
  </si>
  <si>
    <t>AGGIORNATO 380k→369k (ISTAT 2024)</t>
  </si>
  <si>
    <t>ISTAT 2024</t>
  </si>
  <si>
    <t>% famiglie reddito basso (&lt;€25k)</t>
  </si>
  <si>
    <t>ISTAT distrib. redditi familiari</t>
  </si>
  <si>
    <t>ISTAT IT-SILC 2024</t>
  </si>
  <si>
    <t>% famiglie reddito medio (€25-50k)</t>
  </si>
  <si>
    <t>% famiglie reddito alto (&gt;€50k)</t>
  </si>
  <si>
    <t>Credito reddito basso</t>
  </si>
  <si>
    <t>Per 5 anni per figlio</t>
  </si>
  <si>
    <t>Modello DE Kindererziehungszeiten</t>
  </si>
  <si>
    <t>Credito reddito medio</t>
  </si>
  <si>
    <t>Modello DE</t>
  </si>
  <si>
    <t>Credito reddito alto</t>
  </si>
  <si>
    <t>Anni di erogazione per figlio</t>
  </si>
  <si>
    <t>Finestra di pagamento credito</t>
  </si>
  <si>
    <t>LEVA F — PILASTRO 0 SOSTITUTIVO (formula corretta)</t>
  </si>
  <si>
    <t>Pensione media nuova coorte (t=0)</t>
  </si>
  <si>
    <t>Pensione che il NUOVO pensionato avrebbe ricevuto da PAYG status quo</t>
  </si>
  <si>
    <t>INPS pens. vecchiaia 2024</t>
  </si>
  <si>
    <t>Quota P2 sulla pensione totale a regime</t>
  </si>
  <si>
    <t>A regime: P0 ~30%, P2 ~40-50%, complementare 10-20%</t>
  </si>
  <si>
    <t>Calibrato su 40 anni di P2 a 4% e r_fondi 4%</t>
  </si>
  <si>
    <t>Quota PAYG residuo (NUOVI pensionati t=0)</t>
  </si>
  <si>
    <t>Anno 1: nuovi pensionati hanno carriera quasi tutta in PAYG</t>
  </si>
  <si>
    <t>Derivato dalla coorte di transizione</t>
  </si>
  <si>
    <t>Decadimento PAYG residuo (anni)</t>
  </si>
  <si>
    <t>Tempo perché nuovi pensionati abbiano carriera interamente nuova</t>
  </si>
  <si>
    <t>Modellistica</t>
  </si>
  <si>
    <t>LEVE NUOVE — RICALIBRAZIONE PARAMETRICA (Bertonelli Q18A)</t>
  </si>
  <si>
    <t>Leva G — Sotto-indicizzazione progressiva</t>
  </si>
  <si>
    <t>MEDIA range 2-10 mld: soglia di protezione modulata (sentenza C.Cost. 167/2025)</t>
  </si>
  <si>
    <t>Bertonelli Q16+Q18A; sentenza 167/2025</t>
  </si>
  <si>
    <t>Leva G — Anno avvio</t>
  </si>
  <si>
    <t>Immediato (LdB 2027)</t>
  </si>
  <si>
    <t>Operativo</t>
  </si>
  <si>
    <t>Leva H — Revisione reversibilità superstiti</t>
  </si>
  <si>
    <t>MEDIA range 4-6 mld: aggancio attuariale a contributi de cuius</t>
  </si>
  <si>
    <t>Bertonelli Q18A — INPS spesa reversibilità 35-40 mld</t>
  </si>
  <si>
    <t>Leva H — Anno avvio</t>
  </si>
  <si>
    <t>Anno 2 (richiede norma+attuariale)</t>
  </si>
  <si>
    <t>Leva I — Aggancio aspettativa di vita (riavvio)</t>
  </si>
  <si>
    <t>MEDIA range 2,2-3,3 mld: adeguamento automatico requisiti</t>
  </si>
  <si>
    <t>Bertonelli Q18A — sospeso dal 2019</t>
  </si>
  <si>
    <t>Leva I — Anno avvio</t>
  </si>
  <si>
    <t>Riavvio dal 2027</t>
  </si>
  <si>
    <t>Leva J — Chiusura anticipazioni residue</t>
  </si>
  <si>
    <t>MEDIA range 0,75-1,3 mld: stop rinnovo Quote/Opzione Donna/APe per casistiche non vincolate</t>
  </si>
  <si>
    <t>Bertonelli Q18A — INPS-UPB 2022</t>
  </si>
  <si>
    <t>Leva J — Anno avvio</t>
  </si>
  <si>
    <t>LEVA F bis — SPESA ATTUALE SAFETY NET (per sostituzione P0)</t>
  </si>
  <si>
    <t>Spesa attuale safety net pensionistico</t>
  </si>
  <si>
    <t>Pensione sociale + assegno sociale + integrazione minimo</t>
  </si>
  <si>
    <t>INPS Rendiconto 2024 + Catalfo-Orlando</t>
  </si>
  <si>
    <t>Crescita reale safety net</t>
  </si>
  <si>
    <t>Indicizzazione inflazione</t>
  </si>
  <si>
    <t>TAX GAP PREVIDENZIALE (nuova voce — NON inclusa nel saldo riforma)</t>
  </si>
  <si>
    <t>Gap contributi a carico lavoratore dipendente</t>
  </si>
  <si>
    <t>Media range 2,0-2,8 mld</t>
  </si>
  <si>
    <t>MEF-RGS Relazione evasione 2025 Tab. I.1</t>
  </si>
  <si>
    <t>Gap contributi a carico datore</t>
  </si>
  <si>
    <t>Media range 6,4-8,8 mld</t>
  </si>
  <si>
    <t>Totale gap contributivo annuo</t>
  </si>
  <si>
    <t>Recupero potenziale 5-10 anni con riforma autonomi+Gestione Separata (Livello 2)</t>
  </si>
  <si>
    <t>MEF-RGS 2025</t>
  </si>
  <si>
    <t>CALIBRAZIONE LEVA F — Fattori derivati empiricamente</t>
  </si>
  <si>
    <t>Leva F: fattore base f0 (risparmio per coorte anno 0)</t>
  </si>
  <si>
    <t>adim.</t>
  </si>
  <si>
    <t>Calibrato su v2: f0 = U(0) / (B45*B92*13/1e9). Include effetti P2+P0 combinati.</t>
  </si>
  <si>
    <t>dice quanto la prima coorte in t=0 fa rispamiare allo stato essendo che pesa meno rispetto alla coorte precedente</t>
  </si>
  <si>
    <t>Leva F: fattore crescita f1 (accelerazione per coorte)</t>
  </si>
  <si>
    <t>Calibrato su v2: f1 = ΔΔU / (B45*B92*13/1e9). Riflette accumulo P2 per coorti successive.</t>
  </si>
  <si>
    <t>PARAMETRI DINAMICI — LEVE VARIABILI + FLUSSO PENSIONATI</t>
  </si>
  <si>
    <t>Flusso pens. — switch t1 (B45→B46)</t>
  </si>
  <si>
    <t>anno (t)</t>
  </si>
  <si>
    <t>A t=4 (anno 2031, base 2027) si passa a B46=600k — picco baby boom in corso</t>
  </si>
  <si>
    <t>INPS Flussi + ISTAT + AR2024 demographic peak</t>
  </si>
  <si>
    <t>Flusso pens. — switch t2 (B46→B47)</t>
  </si>
  <si>
    <t>A t=11 (anno 2038, base 2027) si passa a B47=480k — post baby boom declino</t>
  </si>
  <si>
    <t>INPS Flussi + AR2024: Dep.Ratio plateau intorno 2040-2050</t>
  </si>
  <si>
    <t>Leva G — decadimento reale annuo (δ_G)</t>
  </si>
  <si>
    <t>adim./anno</t>
  </si>
  <si>
    <t>-1,5%/anno reale: calo stock pensioni alte (retributive) per mortalità + riduzione tasso sostituzione RGS 71,9%→58,5% al 2070</t>
  </si>
  <si>
    <t>CGIL/SPI perequazione 2024; RGS 2025 Tab. tasso sostituzione</t>
  </si>
  <si>
    <t>Leva I — step-up biennale risparmio per adeguamento aspettativa vita (Δ_I)</t>
  </si>
  <si>
    <t>Range doc: 4-6% di base (0.11-0.165 mld); midpoint 5%=0.14 mld/biennio. Era 0 (piatto). Fonte: UPB 2025.</t>
  </si>
  <si>
    <t>+0,175 mld ogni 2 anni: cicli adeguamento aspettativa vita si accumulano (ogni biennio +3 mesi per ~500k pensionati/anno)</t>
  </si>
  <si>
    <t>Il Sole 24 Ore — adeguamento 2027; stima propria</t>
  </si>
  <si>
    <t>Crescita PIL reale — Scenario PESSIMISTA (g_pess)</t>
  </si>
  <si>
    <t>Quota 103/APe/Opzione Donna esaurite in ~10 anni: coorti aventi diritto si esauriscono entro 2037</t>
  </si>
  <si>
    <t>INPS flussi pensionamento anticipato; UPB 2022</t>
  </si>
  <si>
    <t>Crescita salari reali — Scenario PESSIMISTA (g_w_pess)</t>
  </si>
  <si>
    <t>CONVERSIONE NOMINALE (solo Output, non modifica Modello/Dinamica)</t>
  </si>
  <si>
    <t>Tasso inflazione atteso (HICP medio 2027-2060)</t>
  </si>
  <si>
    <t>RENDIMENTO IMPLICITO PAYG — PARAMETRI DECOMPOSIZIONE CONTRIBUTI/FISCALITÀ</t>
  </si>
  <si>
    <t>Fonte principale: Itinerari Previdenziali XIII Rapporto, 2024</t>
  </si>
  <si>
    <t>Quota spesa previdenziale totale coperta da contributi — anno base 2024 (quota_contrib)</t>
  </si>
  <si>
    <t>CORRETTO: 260.6/357.9 = 72.8% su H(t) totale (INPS IVS + Casse prof. + altri). Precedente 91% era calibrato su sola IVS INPS (286 mld) — incoerente con H(t)=16% PIL. Fonte: XIII Rapp. Itinerari Prev. 2024 + ESSPROS Eurostat.</t>
  </si>
  <si>
    <t>Aliquota contributiva totale lavoratore+datore, dipendenti privati (aliquota_contrib_tot)</t>
  </si>
  <si>
    <t>INPS 2024: 9.19% (lavoratore) + 23.81% (datore) = 33.00% di scopo IVS</t>
  </si>
  <si>
    <t>Anni attesi di pensione — lavoratore rappresentativo (anni_pensione_rap)</t>
  </si>
  <si>
    <t>ISTAT 2024: speranza di vita a 67 anni = 19.5 anni (media M/F). Arrotondato a 20 anni.</t>
  </si>
  <si>
    <t>Anni di carriera — lavoratore rappresentativo (anni_lavoro_rap)</t>
  </si>
  <si>
    <t>Carriera standard: ingresso mercato lavoro a 27 anni, pensione a 67 anni = 40 anni.</t>
  </si>
  <si>
    <t>Leva J — Durata chiusura anticipazioni residue (anni)</t>
  </si>
  <si>
    <t>Range plausibile: 2-5 anni. Midpoint 3 anni (2027-2029). Correzione bug: formula usava B129=g_pess=0.003.</t>
  </si>
  <si>
    <t>SCENARI ANALITICI — PERIMETRO RIFORMA E IMMIGRAZIONE</t>
  </si>
  <si>
    <t>Scenario attivo  [1 = Solo dipendenti | 2 = +Autonomi INPS | 3 = +Autonomi +Alta migrazione]</t>
  </si>
  <si>
    <t>Cambia questo valore (1/2/3) per attivare lo scenario. Le leve B, D e il flusso migratorio si aggiornano automaticamente.</t>
  </si>
  <si>
    <t>quota_copertura — sempre 1</t>
  </si>
  <si>
    <t>S1=1.00 (17.5 mln dipendenti, opt-out ~90%); S2=S3=1.08 (+3.5 mln autonomi INPS, adesione ~65%, salario 20k, aliq 25% → peso effettivo +8%). Scala Leva B (risparmio IRPEF) e Leva D (costo biforcazione).</t>
  </si>
  <si>
    <t>immigrazione_effettiva — flusso netto occupati (mln/anno, auto da scenario)</t>
  </si>
  <si>
    <t>S1=S2=0.116 mln/anno (RGS 2025 baseline: 165k × 65% età lav. × 70% occ.). S3=0.166 mln/anno (ISTAT alto: 275k × 65% × 70% = 125k; delta +50k vs baseline). Usata in colonna D (Occupati) al posto di $B$18.</t>
  </si>
  <si>
    <t>Occupati autonomi INPS inclusi in S2/S3 (artigiani+commercianti+gest.sep.) (mln)</t>
  </si>
  <si>
    <t>Tabella scenari — struttura completa (v5.3)</t>
  </si>
  <si>
    <t>Scenario 1</t>
  </si>
  <si>
    <t>Scenario 2</t>
  </si>
  <si>
    <t>Scenario 3</t>
  </si>
  <si>
    <t>Scenario 1: Solo dipendenti INPS</t>
  </si>
  <si>
    <t>D=17.5 mln | G=26.700€ | Migrazione=0.116 mln/a</t>
  </si>
  <si>
    <t>Dipend.+Autonomi INPS (21 mln)</t>
  </si>
  <si>
    <t>Dipend.+Autonomi+Alta migrazione</t>
  </si>
  <si>
    <t>Scenario 2: +Autonomi INPS (artig.+comm.+gest.sep.)</t>
  </si>
  <si>
    <t>D=21.0 mln | G=25.583€ ponderato | Migrazione=0.116 mln/a</t>
  </si>
  <si>
    <t>1.08</t>
  </si>
  <si>
    <t>Scenario 3: +Autonomi +Alta migrazione</t>
  </si>
  <si>
    <t>D=21.0 mln base | G=25.583€ | Migrazione=0.166 mln/a</t>
  </si>
  <si>
    <t>0.116</t>
  </si>
  <si>
    <t>0.166</t>
  </si>
  <si>
    <t>Variabile scenario</t>
  </si>
  <si>
    <t>B140 (selector) → modifica D5, G5 in Modello e Modello_Pess</t>
  </si>
  <si>
    <t>−0.50% (invariato)</t>
  </si>
  <si>
    <t>−0.22% (migliora +0.28 pp)</t>
  </si>
  <si>
    <t>Propagazione automatica</t>
  </si>
  <si>
    <t>D→M(=L%×D)→BRDP(=quota×M×G) e Leva B, Leva D (=...×M×G)</t>
  </si>
  <si>
    <t>g_w+g_occ = −0.30%</t>
  </si>
  <si>
    <t>g_w+g_occ = −0.02% (quasi zero)</t>
  </si>
  <si>
    <t>Salario medio dichiarato autonomi INPS — anno base 2024 (€)</t>
  </si>
  <si>
    <t>Salario medio ponderato S2/S3 [=(B13×B21+B143×B150)/(B13+B143)] (€)</t>
  </si>
  <si>
    <t>Occupati base per scenario S1/S2-S3 [CHOOSE] (mln)</t>
  </si>
  <si>
    <t>BRDP ESTERI — ACQUISTO DA INVESTITORI INTERNAZIONALI</t>
  </si>
  <si>
    <t>BRDP esteri attivi (1=sì, 0=no)</t>
  </si>
  <si>
    <t>switch — default 0 (off). Impostare 1 per attivare.</t>
  </si>
  <si>
    <t>BRDP esteri — importo annuo (€mld/anno)</t>
  </si>
  <si>
    <t>€mld/anno — ipotesi base: 5 €mld/anno (coerente con capacità mercato EU)</t>
  </si>
  <si>
    <t>Spread reale BRDP esteri (su HICP)</t>
  </si>
  <si>
    <t>% — maggiorazione su HICP per rischio sovrano percepito da investitori esteri — VINCOLATO = B67 (spread interno) + 0,5%</t>
  </si>
  <si>
    <t>MODELLO — PROIEZIONE ANNO PER ANNO (v2, 34 anni 2027-2060)</t>
  </si>
  <si>
    <t>Tutti i valori in termini reali (prezzi 2027). Flussi positivi = risparmi/entrate per lo Stato; negativi = costi/fabbisogno.</t>
  </si>
  <si>
    <t>Stock BRDP vivo — formula aggregata (interno+esterno) =SUM(Z)+SUM(AA). Rimborso AD include sia Z(t-15) sia AA(t-15) — v9.</t>
  </si>
  <si>
    <t>Anno</t>
  </si>
  <si>
    <t>t</t>
  </si>
  <si>
    <t>Pensioni
vigenti (mln)</t>
  </si>
  <si>
    <t>Occupati L1
(mln)</t>
  </si>
  <si>
    <t>Att/Pens</t>
  </si>
  <si>
    <t>PIL reale
(€mld)</t>
  </si>
  <si>
    <t>Salario
medio (€)</t>
  </si>
  <si>
    <t>Spesa PAYG
SQ (€mld)</t>
  </si>
  <si>
    <t>Spesa PAYG
%PIL (RGS)</t>
  </si>
  <si>
    <t>Spesa rif.
(€mld)</t>
  </si>
  <si>
    <t>Spesa rif./PIL</t>
  </si>
  <si>
    <t>%Lav in P2</t>
  </si>
  <si>
    <t>Lav. in P2
(mln)</t>
  </si>
  <si>
    <t>Leva A
(€mld)</t>
  </si>
  <si>
    <t>Leva B
(€mld)</t>
  </si>
  <si>
    <t>Leva C
(€mld)</t>
  </si>
  <si>
    <t>Leva D gap
(€mld)</t>
  </si>
  <si>
    <t>Leva D ai fondi</t>
  </si>
  <si>
    <t>Leva D fondi cum</t>
  </si>
  <si>
    <t>Leva E
(€mld)</t>
  </si>
  <si>
    <t>Leva F 
CORRETTA</t>
  </si>
  <si>
    <t>Leva G
(€mld)</t>
  </si>
  <si>
    <t>Leva H
(€mld)</t>
  </si>
  <si>
    <t>Leva I
(€mld)</t>
  </si>
  <si>
    <t>Leva J
(€mld)</t>
  </si>
  <si>
    <t>BRDP emessi
(€mld)</t>
  </si>
  <si>
    <t>BRDP esterni
(€mld)</t>
  </si>
  <si>
    <t>Stock BRDP
totale (€mld)</t>
  </si>
  <si>
    <t>Interessi
BRDP (€mld)</t>
  </si>
  <si>
    <t>Rimborso cap.
BRDP (€mld)</t>
  </si>
  <si>
    <t>Saldo annuo
(€mld)</t>
  </si>
  <si>
    <t>Saldo cum.
(€mld)</t>
  </si>
  <si>
    <t>Debito tr./PIL</t>
  </si>
  <si>
    <t>Stock BRDP
interno (€mld)</t>
  </si>
  <si>
    <t>Rimborso cap.
BRDP interno (€mld)</t>
  </si>
  <si>
    <t>Foglio Dinamica — scenari reali (€ 2027)</t>
  </si>
  <si>
    <t>Unità: €miliardi reali (prezzi 2027)</t>
  </si>
  <si>
    <t>Col A = —  |  Col B = r_BRDP_r  |  Col C = rf_r</t>
  </si>
  <si>
    <t>Scenario</t>
  </si>
  <si>
    <t>r_BRDP_r</t>
  </si>
  <si>
    <t>rf_r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</si>
  <si>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</si>
  <si>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</si>
  <si>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</si>
  <si>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</si>
  <si>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</si>
  <si>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</si>
  <si>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</si>
  <si>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</si>
  <si>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</si>
  <si>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</si>
  <si>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</si>
  <si>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</si>
  <si>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</si>
  <si>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</si>
  <si>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</si>
  <si>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</si>
  <si>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</si>
  <si>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</si>
  <si>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</si>
  <si>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</si>
  <si>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</si>
  <si>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</si>
  <si>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</si>
  <si>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</si>
  <si>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</si>
  <si>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</si>
  <si>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</si>
  <si>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</si>
  <si>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</si>
  <si>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</si>
  <si>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</si>
  <si>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</si>
  <si>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</si>
  <si>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</si>
  <si>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FP_reale (=Modello!R)</t>
  </si>
  <si>
    <t>SK_reale (=Modello!Z)</t>
  </si>
  <si>
    <t>SEZIONE I — Montante fondi pensione P2 (€mld reali €2027)</t>
  </si>
  <si>
    <t>Ia: Montante P2 (scenario r_BRDP_r, rf_r)</t>
  </si>
  <si>
    <t>r_BRDP=0.75%, rf=0.500%</t>
  </si>
  <si>
    <t>r_BRDP=0.75%, rf=1.250%</t>
  </si>
  <si>
    <t>r_BRDP=0.75%, rf=2.500%</t>
  </si>
  <si>
    <t>r_BRDP=0.75%, rf=4.000%</t>
  </si>
  <si>
    <t>r_BRDP=1.50%, rf=0.500%</t>
  </si>
  <si>
    <t>r_BRDP=1.50%, rf=1.250%</t>
  </si>
  <si>
    <t>r_BRDP=1.50%, rf=2.500%</t>
  </si>
  <si>
    <t>r_BRDP=1.50%, rf=4.000%</t>
  </si>
  <si>
    <t>r_BRDP=2.50%, rf=0.500%</t>
  </si>
  <si>
    <t>r_BRDP=2.50%, rf=1.250%</t>
  </si>
  <si>
    <t>r_BRDP=2.50%, rf=2.500%</t>
  </si>
  <si>
    <t>r_BRDP=2.50%, rf=4.000%</t>
  </si>
  <si>
    <t>r_BRDP=3.50%, rf=0.500%</t>
  </si>
  <si>
    <t>r_BRDP=3.50%, rf=1.250%</t>
  </si>
  <si>
    <t>r_BRDP=3.50%, rf=2.500%</t>
  </si>
  <si>
    <t>r_BRDP=3.50%, rf=4.000%</t>
  </si>
  <si>
    <t>Ib: Stock BRDP detenuto dai fondi P2 — interno (€mld reali €2027)</t>
  </si>
  <si>
    <t>Ib: Stock BRDP in circolazione (€mld reali €2027)</t>
  </si>
  <si>
    <t>Stock BRDP interno (= Modello!AH, esclude esteri)</t>
  </si>
  <si>
    <t>—</t>
  </si>
  <si>
    <t>Ic: Portafoglio totale P2 = Ia + Ib (€mld reali €2027)</t>
  </si>
  <si>
    <t>SEZIONE II — Flussi BRDP (€mld reali €2027)</t>
  </si>
  <si>
    <t>Stock BRDP</t>
  </si>
  <si>
    <t>IIb: Cedole BRDP ai fondi P2 = stock INTERNO(t-1) × r_BRDP_r (€mld reali €2027)</t>
  </si>
  <si>
    <t>r_BRDP=0.75%</t>
  </si>
  <si>
    <t>r_BRDP=1.50%</t>
  </si>
  <si>
    <t>r_BRDP=2.50%</t>
  </si>
  <si>
    <t>r_BRDP=3.50%</t>
  </si>
  <si>
    <t>IIc: Rimborsi capitale BRDP INTERNO (inflow a P2, €mld reali €2027)</t>
  </si>
  <si>
    <t>Rimborsi</t>
  </si>
  <si>
    <t>IId: Flusso BRDP totale verso P2 = Cedole + Rimborsi (€mld reali €2027)</t>
  </si>
  <si>
    <t>IIe: Cedole cumulate BRDP (€mld reali €2027)</t>
  </si>
  <si>
    <t>SEZIONE III — RENDIMENTO IMPLICITO PAYG: DECOMPOSIZIONE CONTRIBUTIVA/FISCALE (€mld reali €2027)</t>
  </si>
  <si>
    <t>Spesa_contrib(t) = quota_contrib_0 × H(0) × (1+g_w)^t × (1+g_occ)^t — cresce col monte salari (Aaron-Samuelson). Spesa_fiscale = H(t) − spesa_contrib(t). Indipendente da r_BRDP e rf.</t>
  </si>
  <si>
    <t>IIIa: Spesa PAYG coperta da contributi (€mld reali €2027)</t>
  </si>
  <si>
    <t>BASE (g=0.8%, g_w=0.2%)</t>
  </si>
  <si>
    <t>PESSIMISTA (g=0.3%, g_w=0.0%)</t>
  </si>
  <si>
    <t>IIIb: Spesa PAYG coperta da fiscalità generale (€mld reali €2027)</t>
  </si>
  <si>
    <t>IIIc: Quota spesa PAYG coperta da contributi — dinamica (%)</t>
  </si>
  <si>
    <t>IIId: Rendimento implicito PAYG — tasso Aaron (g_w+g_occ, % p.a.)</t>
  </si>
  <si>
    <t>BASE</t>
  </si>
  <si>
    <t>PESSIMISTA</t>
  </si>
  <si>
    <t>SEZIONE IV — BRDP ESTERI (dettaglio forecasting, switch Parametri!B159, importo Parametri!B160, spread Parametri!B161)</t>
  </si>
  <si>
    <t>spread_BRDP_est</t>
  </si>
  <si>
    <t>IVa: BRDP esteri emessi annui (= Modello!AA)</t>
  </si>
  <si>
    <t>IVb: Stock BRDP esteri cumulato</t>
  </si>
  <si>
    <t>IVc: Cedole BRDP esteri annue (= Parametri!B161 × stock esteri)</t>
  </si>
  <si>
    <t>IVd: Rimborsi BRDP esteri (capitale, a investitori esteri)</t>
  </si>
  <si>
    <t>IVe: Cedole BRDP esteri cumulate</t>
  </si>
  <si>
    <t>IVf: Flusso BRDP esteri totale verso investitori esteri (cedole + rimborsi)</t>
  </si>
  <si>
    <t>IVg: Stock BRDP interni cumulato (= Modello!AB − stock esteri)</t>
  </si>
  <si>
    <t>IVh: Quota BRDP esteri su totale (stock)</t>
  </si>
  <si>
    <t>IVi: Cedole TOTALI annue (raccordo = -Modello!AC)</t>
  </si>
  <si>
    <t>MODELLO_PESS — SCENARIO PESSIMISTA (g=0.3%, g_w=0.0%) — 34 anni 2027-2060</t>
  </si>
  <si>
    <t>Tutti i valori in termini reali (prezzi 2027). SCENARIO PESSIMISTA: crescita PIL 0.3%/a, salari 0.0%/a (stagnazione demografica, ISTAT scenario basso).</t>
  </si>
  <si>
    <t>Foglio Dinamica_Pess — scenari reali (€ 2027) — SCENARIO PESSIMISTA</t>
  </si>
  <si>
    <t>Scenario macro: g=0.3%/a (PIL), g_w=0.0%/a (salari). Stima ISTAT scenario basso.</t>
  </si>
  <si>
    <t>FP_reale (=Modello_Pess!R)</t>
  </si>
  <si>
    <t>SK_reale (=Modello_Pess!Z)</t>
  </si>
  <si>
    <t>Stock BRDP interno (= Modello_Pess!AH, esclude esteri)</t>
  </si>
  <si>
    <t>IIa: Stock BRDP (= Ib)</t>
  </si>
  <si>
    <t>IVa: BRDP esteri emessi annui (= Modello_Pess!AA)</t>
  </si>
  <si>
    <t>IVg: Stock BRDP interni cumulato (= Modello_Pess!AB − stock esteri)</t>
  </si>
  <si>
    <t>IVi: Cedole TOTALI annue (raccordo = -Modello_Pess!AC)</t>
  </si>
  <si>
    <t>SENSITIVITY ANALYSIS — ANNO 2060 (t=33)</t>
  </si>
  <si>
    <t>Griglie 4×4 [r_BRDP × rf] per gli indicatori chiave di fine orizzonte. Scenario macro BASE (g=0.8%, g_w=0.2%) e PESSIMISTA (g=0.3%, g_w=0.0%). Tutti i valori in termini reali (€2027).</t>
  </si>
  <si>
    <t>TAB 1 — Portafoglio P2 totale (Ic) / PIL a t=33 — SCENARIO BASE</t>
  </si>
  <si>
    <t>BASE (g=0.8%)</t>
  </si>
  <si>
    <t>% PIL</t>
  </si>
  <si>
    <t>rf=0.5%</t>
  </si>
  <si>
    <t>rf=1.25%</t>
  </si>
  <si>
    <t>rf=2.5%</t>
  </si>
  <si>
    <t>rf=4.0%</t>
  </si>
  <si>
    <t>TAB 2 — Portafoglio P2 totale (Ic) / PIL a t=33 — SCENARIO PESSIMISTA</t>
  </si>
  <si>
    <t>PESSIMISTA (g=0.3%)</t>
  </si>
  <si>
    <t>TAB 3 — Montante fondi mercato (Ia) / PIL a t=33 — SCENARIO BASE</t>
  </si>
  <si>
    <t>TAB 4 — Montante fondi mercato (Ia) / PIL a t=33 — SCENARIO PESSIMISTA</t>
  </si>
  <si>
    <t>TAB 5 — Risparmio SQ-Riforma / PIL a t=33 (indipendente da r_BRDP e rf) — BASE</t>
  </si>
  <si>
    <t>pp PIL</t>
  </si>
  <si>
    <t>TAB 6 — Risparmio SQ-Riforma / PIL a t=33 — PESSIMISTA</t>
  </si>
  <si>
    <t>TAB 7 — Stock BRDP / PIL a t=33 (indipendente da rf) — BASE</t>
  </si>
  <si>
    <t>TAB 8 — Stock BRDP / PIL a t=33 — PESSIMISTA</t>
  </si>
  <si>
    <t>TAB 9 — RENDIMENTO IMPLICITO PAYG: VALORI A T=33 (2060)</t>
  </si>
  <si>
    <t>Indicatore</t>
  </si>
  <si>
    <t>Nota</t>
  </si>
  <si>
    <t>Rendimento implicito PAYG reale (Aaron: g_w+g_occ)</t>
  </si>
  <si>
    <t>% p.a.</t>
  </si>
  <si>
    <t>Costante nel tempo per scenario. BASE≈−0.3%, PESS≈−0.5%</t>
  </si>
  <si>
    <t>Spesa PAYG copertura contributiva t=33</t>
  </si>
  <si>
    <t>€mld (€2027)</t>
  </si>
  <si>
    <t>Monte salari×aliquota in termini reali a 2060</t>
  </si>
  <si>
    <t>Spesa PAYG copertura fiscalità generale t=33</t>
  </si>
  <si>
    <t>Trasferimento netto a carico del bilancio statale per pensioni IVS</t>
  </si>
  <si>
    <t>Sussidio fiscale PAYG / PIL t=33</t>
  </si>
  <si>
    <t>Quota PIL trasferita da fiscalità gen. per integrare contributi insufficienti</t>
  </si>
  <si>
    <t>Quota spesa PAYG coperta da contributi t=33</t>
  </si>
  <si>
    <t>Peggioramento dal 91% del 2024 per effetto demografico (calo monte salari)</t>
  </si>
  <si>
    <t>TAB 10 — LAVORATORE RAPPRESENTATIVO (dipendente, w₀=€26.7k, aliquota 33%, carriera 40 anni)</t>
  </si>
  <si>
    <t>NOTA METODOLOGICA: montante FV capitalizzato a fine carriera in termini reali. Assunzioni: w₀=€26.7k (Param.!B21), aliquota=33% (Param.!B135), T=40 anni (Param.!B137), K=20 anni pensione (Param.!B136), g_w per scenario, r_PAYG=Aaron(g_w+g_occ), rf=2.5% per confronto. Valori reali €2027. Cautela: carriera continua, regime contributivo pieno, occupati full-time.</t>
  </si>
  <si>
    <t>Contributo annuale iniziale (aliquota×w₀)</t>
  </si>
  <si>
    <t>€8.8k/anno</t>
  </si>
  <si>
    <t>€k/anno</t>
  </si>
  <si>
    <t>IRR implicito PAYG reale (Aaron: g_w+g_occ)</t>
  </si>
  <si>
    <t>-0.3%</t>
  </si>
  <si>
    <t>-0.5%</t>
  </si>
  <si>
    <t>% reale</t>
  </si>
  <si>
    <t>Montante PAYG a fine carriera (@ r_PAYG)</t>
  </si>
  <si>
    <t>€346.2k</t>
  </si>
  <si>
    <t>€320.2k</t>
  </si>
  <si>
    <t>€k reali 2027</t>
  </si>
  <si>
    <t xml:space="preserve">  Di cui copertura contributiva (91% anno base)</t>
  </si>
  <si>
    <t>€315.0k</t>
  </si>
  <si>
    <t>€291.3k</t>
  </si>
  <si>
    <t xml:space="preserve">  Di cui sussidio fiscale implicito (9% anno base)</t>
  </si>
  <si>
    <t>€31.2k</t>
  </si>
  <si>
    <t>€28.8k</t>
  </si>
  <si>
    <t>Montante capitalizzazione (@ rf=2.5%)</t>
  </si>
  <si>
    <t>€613.7k</t>
  </si>
  <si>
    <t>€593.9k</t>
  </si>
  <si>
    <t>Differenziale PAYG vs capitalizzazione</t>
  </si>
  <si>
    <t>€-267.5k</t>
  </si>
  <si>
    <t>€-273.7k</t>
  </si>
  <si>
    <t>OUTPUT — INDICATORI DI SOSTENIBILITÀ DELLA RIFORMA PENSIONISTICA (v3)</t>
  </si>
  <si>
    <t>Tutti i valori in termini reali (€2027). BASE: g=0.8%, g_w=0.2%. PESSIMISTA: g=0.3%, g_w=0.0%. Per valori nominali vedi Tabella 4 (usa inflazione da Parametri!B130=2%).</t>
  </si>
  <si>
    <t>TABELLA 1 — SPESA PENSIONISTICA / PIL (termini reali €2027)</t>
  </si>
  <si>
    <t>Spesa PAYG Status Quo / PIL</t>
  </si>
  <si>
    <t>RGS (comune)</t>
  </si>
  <si>
    <t>Spesa riforma / PIL</t>
  </si>
  <si>
    <t>Risparmio su SQ (punti PIL)</t>
  </si>
  <si>
    <t>PIL reale</t>
  </si>
  <si>
    <t>TABELLA 2 — DEBITO DI TRANSIZIONE BRDP (INTERNO + ESTERO) E SALDO ANNUO (termini reali €2027)</t>
  </si>
  <si>
    <t>BRDP TOTALE (interno + esterno)</t>
  </si>
  <si>
    <t>BRDP emessi totali annui</t>
  </si>
  <si>
    <t>Stock BRDP totale in circolazione</t>
  </si>
  <si>
    <t>Stock BRDP totale / PIL</t>
  </si>
  <si>
    <t>Cedole BRDP totali annue (interno + esterno)</t>
  </si>
  <si>
    <t>di cui — BRDP INTERNI</t>
  </si>
  <si>
    <t>BRDP interni emessi annui</t>
  </si>
  <si>
    <t>Stock BRDP interni cumulato</t>
  </si>
  <si>
    <t>di cui — BRDP ESTERI</t>
  </si>
  <si>
    <t>BRDP esteri emessi annui</t>
  </si>
  <si>
    <t>Stock BRDP esteri cumulato</t>
  </si>
  <si>
    <t>Stock BRDP esteri / PIL</t>
  </si>
  <si>
    <t>Cedole BRDP esteri annue</t>
  </si>
  <si>
    <t>Cedole BRDP esteri cumulate</t>
  </si>
  <si>
    <t>Rimborsi capitale BRDP esteri</t>
  </si>
  <si>
    <t>Flusso BRDP esteri totale verso P2 (cedole + rimborsi)</t>
  </si>
  <si>
    <t>Quota BRDP esteri / BRDP totale (stock)</t>
  </si>
  <si>
    <t>SALDO FISCALE DELLA RIFORMA</t>
  </si>
  <si>
    <t>Saldo annuo netto riforma</t>
  </si>
  <si>
    <t>Saldo cumulato riforma</t>
  </si>
  <si>
    <t>TABELLA 3 — MONTANTE P2 E ADEGUATEZZA (scenario finanziario centrale: r_BRDP=1.5%, rf=2.5%)</t>
  </si>
  <si>
    <t>Nota: Ia = fondi mercato; Ic = portafoglio totale P2 (Ia + BRDP)</t>
  </si>
  <si>
    <t>Montante fondi mercato (Ia)</t>
  </si>
  <si>
    <t>Portafoglio totale P2 (Ic = Ia + BRDP)</t>
  </si>
  <si>
    <t>Portafoglio P2 / PIL</t>
  </si>
  <si>
    <t>Emissioni BRDP annue / PIL</t>
  </si>
  <si>
    <t>TABELLA 4 — CONVERSIONI NOMINALI (solo per comunicazione; pi = Parametri!B130)</t>
  </si>
  <si>
    <t>Nota: Valore nominale(t) = Valore reale(t) × (1+pi)^t</t>
  </si>
  <si>
    <t>Stock BRDP (nominale)</t>
  </si>
  <si>
    <t>€mld correnti</t>
  </si>
  <si>
    <t>Saldo annuo riforma (nominale)</t>
  </si>
  <si>
    <t>Portafoglio P2 totale (nominale)</t>
  </si>
  <si>
    <t>TABELLA 6 — RENDIMENTO IMPLICITO PAYG: DECOMPOSIZIONE CONTRIBUTIVA/FISCALE (termini reali €2027)</t>
  </si>
  <si>
    <t>Fonte quota_contrib_0=91%: Itinerari Previdenziali XIII Rapporto 2024 (260.6/286.1 €mld). Spesa_contrib(t) = 91%×H(0)×(1+g_w)^t×(1+g_occ)^t (Aaron-Samuelson: base contributiva cresce con monte salari). Spesa_fiscale(t) = H(t) − spesa_contrib(t). Nota: H(t) è spesa PAYG totale (Modello!H). H5=H5_pess (stessa base 2027).</t>
  </si>
  <si>
    <t>Rendimento implicito PAYG reale (Aaron: g_w + g_occ)</t>
  </si>
  <si>
    <t>Quota spesa PAYG coperta da contributi — dinamica</t>
  </si>
  <si>
    <t>Spesa PAYG coperta da contributi</t>
  </si>
  <si>
    <t>Spesa PAYG coperta da fiscalità generale</t>
  </si>
  <si>
    <t>Sussidio fiscale PAYG / PIL</t>
  </si>
  <si>
    <t>TABELLA 5 — SINTESI INDICATORI CHIAVE (scalari)</t>
  </si>
  <si>
    <t>Note</t>
  </si>
  <si>
    <t>PIL reale t=0 (2027)</t>
  </si>
  <si>
    <t>Anno base: identico (parametro Parametri!B19)</t>
  </si>
  <si>
    <t>PIL reale t=33 (2060)</t>
  </si>
  <si>
    <t>Divergenza per effetto g differente</t>
  </si>
  <si>
    <t>Crescita PIL reale</t>
  </si>
  <si>
    <t>Ipotesi macro chiave</t>
  </si>
  <si>
    <t>Crescita salari reali</t>
  </si>
  <si>
    <t>Risparmio cumulato SQ vs riforma</t>
  </si>
  <si>
    <t>Saldo cumulato riforma (positivo = risparmio)</t>
  </si>
  <si>
    <t>Saldo cumulato t=33</t>
  </si>
  <si>
    <t>Stock di debito/credito a fine orizzonte</t>
  </si>
  <si>
    <t>BRDP emessi totali</t>
  </si>
  <si>
    <t>Solo Fase I + Fase II</t>
  </si>
  <si>
    <t>Stock BRDP max</t>
  </si>
  <si>
    <t>Picco debito BRDP</t>
  </si>
  <si>
    <t>BRDP max / PIL (anno picco)</t>
  </si>
  <si>
    <t>Rapporto nel momento di massima esposizione</t>
  </si>
  <si>
    <t>Spesa riforma / PIL t=0</t>
  </si>
  <si>
    <t>Impatto iniziale</t>
  </si>
  <si>
    <t>Spesa riforma / PIL t=33</t>
  </si>
  <si>
    <t>Impatto finale</t>
  </si>
  <si>
    <t>Risparmio su SQ t=33</t>
  </si>
  <si>
    <t>RGS SQ − riforma, anno finale</t>
  </si>
  <si>
    <t>Montante P2 totale t=33 (rf=2.5%, r_BRDP=1.5%)</t>
  </si>
  <si>
    <t>Portafoglio P2 a fine orizzonte, scenario finanziario centrale</t>
  </si>
  <si>
    <t>Portafoglio P2 / PIL t=33</t>
  </si>
  <si>
    <t>Adeguatezza patrimoniale sistema capitalizzazione</t>
  </si>
  <si>
    <t>FONTI USATE NEL MODELLO v2  —  Verificate giugno 2026</t>
  </si>
  <si>
    <t>#</t>
  </si>
  <si>
    <t>Documento / Fonte</t>
  </si>
  <si>
    <t>Uso nel modello</t>
  </si>
  <si>
    <t>Stato verifica</t>
  </si>
  <si>
    <t>Link</t>
  </si>
  <si>
    <t>Note verifica</t>
  </si>
  <si>
    <t>INPS — Osservatorio Pensioni Vigenti 1.1.2026 Tav. 13</t>
  </si>
  <si>
    <t>2026</t>
  </si>
  <si>
    <t>21,3 mln pensioni (21.258.000); 16,3 mln pensionati; cumulo 1,41</t>
  </si>
  <si>
    <t>CONFERMATO</t>
  </si>
  <si>
    <t>https://www.inps.it</t>
  </si>
  <si>
    <t>21.257.999 pensioni +0,6% vs 2025. Totale annuo 353,5 Mld euro.</t>
  </si>
  <si>
    <t>OCPI Cattolica — Spesa pensionistica verso il 17%</t>
  </si>
  <si>
    <t>Critica ipotesi RGS post-2040 ottimistiche</t>
  </si>
  <si>
    <t>https://osservatoriocpi.unicatt.it/ocpi-pubblicazioni-spesa-pensionistica-verso-il-17-del-pil-ma-il-calo-dopo-il-2040-e-tutto-da-verificare</t>
  </si>
  <si>
    <t>Pubblicato 27/02/2026.</t>
  </si>
  <si>
    <t>INPS — XXIV Rapporto Annuale 2025</t>
  </si>
  <si>
    <t>2025</t>
  </si>
  <si>
    <t>Eta effettiva 64,8 anni (2024); tassi di sostituzione effettivi</t>
  </si>
  <si>
    <t>DISCREPANZA MINORE</t>
  </si>
  <si>
    <t>https://www.inps.it/it/it/dati-e-bilanci/rapporti-annuali/xxiv-rapporto-annuale.html</t>
  </si>
  <si>
    <t>INPS XXIV RA luglio 2025: eta effettiva = 64,8 anni. Corretto da 63,8.</t>
  </si>
  <si>
    <t>RGS-MEF — Rapporto 26/2025</t>
  </si>
  <si>
    <t>Traiettoria PAYG/PIL: 15,4% -&gt; 17,1% (2040) -&gt; 14% (2070); 165k/anno</t>
  </si>
  <si>
    <t>https://www.rgs.mef.gov.it/</t>
  </si>
  <si>
    <t>Fonte primaria MEF. Cross-check Ageing Report 2024.</t>
  </si>
  <si>
    <t>RGS-MEF — Relazione evasione 2025 Tab. I.1</t>
  </si>
  <si>
    <t>Tax gap contributivo 8-12 mld/anno; IRPEF autonomi 36 mld</t>
  </si>
  <si>
    <t>https://www.mef.gov.it/</t>
  </si>
  <si>
    <t>Pub. 3/11/2025. Evasione contributiva 2022: 8,4-11,6 Mld.</t>
  </si>
  <si>
    <t>OCPI Cattolica — TFR devoluto al fondo INPS</t>
  </si>
  <si>
    <t>Secondo pilastro mancato; 30 mld/anno (flusso TFR complessivo)</t>
  </si>
  <si>
    <t>https://osservatoriocpi.unicatt.it/ocpi-pubblicazioni-che-ne-e-del-tfr-devoluto-al-fondo-inps</t>
  </si>
  <si>
    <t>30 Mld = flusso TFR annuo totale lavoratori privati.</t>
  </si>
  <si>
    <t>UPB — Audizioni DDL Bilancio 2025</t>
  </si>
  <si>
    <t>Leve C, G, H stime</t>
  </si>
  <si>
    <t>https://www.upb.it/it/content/audizioni</t>
  </si>
  <si>
    <t>UPB audizioni 2025 su spesa pensionistica e riforme.</t>
  </si>
  <si>
    <t>Sentenza Corte Costituzionale 167/2025</t>
  </si>
  <si>
    <t>Sotto-indicizzazione progressiva per scaglioni — Leva G</t>
  </si>
  <si>
    <t>https://www.cortecostituzionale.it/</t>
  </si>
  <si>
    <t>Depositata 13/11/2025. Legalita perequazione a scaglioni confermata.</t>
  </si>
  <si>
    <t>OECD — Pensions at a Glance 2025</t>
  </si>
  <si>
    <t>Rendimento atteso 60/40 4-5% reale; reddito over 66</t>
  </si>
  <si>
    <t>https://www.oecd.org/en/publications/pensions-at-a-glance-2025_e40274c1-en.html</t>
  </si>
  <si>
    <t>Pubblicato 27/11/2025.</t>
  </si>
  <si>
    <t>Fondazione Leone Moressa — XV Rapp. immigrazione</t>
  </si>
  <si>
    <t>Saldo netto migranti +1,2 mld; 70% in eta lavorativa (6% over 64)</t>
  </si>
  <si>
    <t>https://www.fondazioneleonemoressa.org/</t>
  </si>
  <si>
    <t>Presentato 20/10/2025. Solo 6% stranieri over 64 vs 26% italiani.</t>
  </si>
  <si>
    <t>INPS — Rendiconto generale 2024, Tab. 4.3</t>
  </si>
  <si>
    <t>2024</t>
  </si>
  <si>
    <t>Spesa totale 417,4 mld / pensioni 320,6 mld; safety net 32,5 mld</t>
  </si>
  <si>
    <t>https://www.inps.it/it/it/dati-e-bilanci/bilanci-e-rendiconti/rendiconto-generale.html</t>
  </si>
  <si>
    <t>Rendiconto INPS 2024.</t>
  </si>
  <si>
    <t>INPS — Casellario Centrale Pensionati 2024</t>
  </si>
  <si>
    <t>Reddito medio pensionato 1.718 euro/mese; 16,3 mln pensionati; cumulo 1,41</t>
  </si>
  <si>
    <t>https://www.inps.it/</t>
  </si>
  <si>
    <t>31/12/2024: 23.015.011 prestazioni, 16.305.880 pensionati.</t>
  </si>
  <si>
    <t>Coefficiente trasformazione 67 anni = 5,608% biennio 2025-2026</t>
  </si>
  <si>
    <t>https://www.gazzettaufficiale.it/</t>
  </si>
  <si>
    <t>DM 20/11/2024: coefficiente 5,608% per eta 67.</t>
  </si>
  <si>
    <t>ISTAT — Previsioni popolazione base 1.1.2024</t>
  </si>
  <si>
    <t>Trend pensionati +1%/anno; occupati -0,5%/anno</t>
  </si>
  <si>
    <t>https://www.istat.it/it/archivio/290948</t>
  </si>
  <si>
    <t>Scenario base ISTAT 2024.</t>
  </si>
  <si>
    <t>ISTAT — Contabilita nazionale 2024</t>
  </si>
  <si>
    <t>PIL Italia 2024 = 2.184 mld euro (revisione sett.2025: 2.200 Mld)</t>
  </si>
  <si>
    <t>https://www.istat.it/en/press-release/annual-national-accounts-years-2023-2024/</t>
  </si>
  <si>
    <t>ISTAT sett.2025: PIL 2024 = 2.199,6 Mld. Scarto +0,7% vs valore nel modello.</t>
  </si>
  <si>
    <t>Eurostat — ILC_DI03 + HICP 2005-2024</t>
  </si>
  <si>
    <t>Salari reali coorti attive: NEGATIVI; corretto a g_w=+0,05%</t>
  </si>
  <si>
    <t>https://ec.europa.eu/eurostat/databrowser/view/ILC_DI03__custom_8311751</t>
  </si>
  <si>
    <t>ILC_DI03 + HICP: crescita reale salari 2005-2024 negativa in Italia.</t>
  </si>
  <si>
    <t>Eurostat — ESSPROS spr_exp_func 2024</t>
  </si>
  <si>
    <t>Iperconcentrazione vecchiaia +4,1 pp PIL vs UE (approx 90 mld/anno)</t>
  </si>
  <si>
    <t>https://ec.europa.eu/eurostat/databrowser/view/spr_exp_func</t>
  </si>
  <si>
    <t>Italia old age = 59,9% spesa protezione sociale. ✓</t>
  </si>
  <si>
    <t>Eurostat — demo_find (fecondita)</t>
  </si>
  <si>
    <t>Fecondita Italia 1,18 (2024)</t>
  </si>
  <si>
    <t>https://ec.europa.eu/eurostat/databrowser/view/demo_find</t>
  </si>
  <si>
    <t>TFT Italia 2024 = 1,18. Coerente con ISTAT nascite 369.944.</t>
  </si>
  <si>
    <t>COVIP — Relazione annuale 2024</t>
  </si>
  <si>
    <t>Patrimonio fondi pensione 244 mld euro (effettivo: 243,4 Mld)</t>
  </si>
  <si>
    <t>https://www.covip.it/</t>
  </si>
  <si>
    <t>COVIP 2024: 243,4 Mld. Scarto +0,2%. Trascurabile.</t>
  </si>
  <si>
    <t>Commissione UE — 2024 Ageing Report (Inst. Paper 279)</t>
  </si>
  <si>
    <t>Crescita PIL 0,8%; cross-check RGS. Picco 17,3% al 2036 vs 17,1% al 2040 (RGS).</t>
  </si>
  <si>
    <t>https://economy-finance.ec.europa.eu/publications/2024-ageing-report_en</t>
  </si>
  <si>
    <t>Differenza metodologica RGS vs Ageing Report documentata.</t>
  </si>
  <si>
    <t>Camera dei Deputati — Conto consuntivo 2024</t>
  </si>
  <si>
    <t>Trasferimenti previdenziali ex deputati (perimetro vitalizi)</t>
  </si>
  <si>
    <t>https://www.camera.it/leg19/813</t>
  </si>
  <si>
    <t>Conto consuntivo 2024 Camera.</t>
  </si>
  <si>
    <t>AMECO — HWC2W industria Italia 1985-2024</t>
  </si>
  <si>
    <t>Stipendi nominali industria (riferimento Bertonelli Q9)</t>
  </si>
  <si>
    <t>https://ec.europa.eu/economy_finance/ameco/</t>
  </si>
  <si>
    <t>Serie AMECO HWC2W. EC database standard.</t>
  </si>
  <si>
    <t>INPS-UPB — Quota 100 a 3 anni (2019-2021)</t>
  </si>
  <si>
    <t>2022</t>
  </si>
  <si>
    <t>Costo deroghe; chiusura</t>
  </si>
  <si>
    <t>https://www.upb.it/</t>
  </si>
  <si>
    <t>Costo Quota 100 stimato da UPB.</t>
  </si>
  <si>
    <t>Holzmann R., Hinz R. — Old-Age Income Support (WB, 2005)</t>
  </si>
  <si>
    <t>2005 WB</t>
  </si>
  <si>
    <t>Architettura multi-pilastro 0-1-2-3-4</t>
  </si>
  <si>
    <t>https://openknowledge.worldbank.org/handle/10986/7336</t>
  </si>
  <si>
    <t>World Bank Policy Research Report 2005. ISBN 0-8213-6040-X</t>
  </si>
  <si>
    <t>Thaler R., Benartzi S. — Save More Tomorrow (JPE 2004)</t>
  </si>
  <si>
    <t>2004 JPE</t>
  </si>
  <si>
    <t>Framing delle 3 fasi temporali della biforcazione</t>
  </si>
  <si>
    <t>https://www.journals.uchicago.edu/doi/10.1086/380085</t>
  </si>
  <si>
    <t>JPE vol.112 no.S1 (2004).</t>
  </si>
  <si>
    <t>Madrian B., Shea D. — Inertia in 401(k) (QJE 2001)</t>
  </si>
  <si>
    <t>2001 QJE</t>
  </si>
  <si>
    <t>Auto-enrolment + opt-out finestrato</t>
  </si>
  <si>
    <t>https://academic.oup.com/qje/article/116/4/1149/1903159</t>
  </si>
  <si>
    <t>QJE 116(4), 2001.</t>
  </si>
  <si>
    <t>Sinn H.-W. — Why a Funded System is Useful (NBER 2000)</t>
  </si>
  <si>
    <t>2000 NBER</t>
  </si>
  <si>
    <t>Equita intergenerazionale crediti per figli</t>
  </si>
  <si>
    <t>https://www.nber.org/papers/w7592</t>
  </si>
  <si>
    <t>NBER Working Paper 7592 (2000).</t>
  </si>
  <si>
    <t>Breyer F. — Intergenerational Pareto Eff. (JITE 1989)</t>
  </si>
  <si>
    <t>1989 JITE</t>
  </si>
  <si>
    <t>Costo di transizione non eliminabile</t>
  </si>
  <si>
    <t>https://link.springer.com/article/10.1007/BF01232648</t>
  </si>
  <si>
    <t>JITE 145(4), 1989.</t>
  </si>
  <si>
    <t>Aaron H. — Social Insurance Paradox (Canadian JE 1966)</t>
  </si>
  <si>
    <t>1966</t>
  </si>
  <si>
    <t>n+g &gt; r; oggi violata in Italia</t>
  </si>
  <si>
    <t>https://www.jstor.org/stable/139995</t>
  </si>
  <si>
    <t>Canadian JE 1(2), 1966.</t>
  </si>
  <si>
    <t>Bertonelli U. — Dashboard Tutto Pensioni (2026)</t>
  </si>
  <si>
    <t>Cross-check 22 indicatori; leve G,H,I,J da Q18A</t>
  </si>
  <si>
    <t>NON VERIF.</t>
  </si>
  <si>
    <t>Non trovata online. Probabile risorsa accademica interna. Verificare accesso.</t>
  </si>
  <si>
    <t>Legenda:  CONFERMATO = verificata online  |  DISCREPANZA MINORE = scarto &lt;5%  |  NON VERIF. = non trovata online</t>
  </si>
  <si>
    <t>Riepilogo giugno 2026:  27 CONFERMATO  |  2 DISCREPANZA MINORE (eta effettiva INPS; PIL ISTAT)  |  1 NON VERIF. (Bertonelli)</t>
  </si>
  <si>
    <t>CHANGELOG v1 → v2</t>
  </si>
  <si>
    <t>v5.3</t>
  </si>
  <si>
    <t>2026-05-25</t>
  </si>
  <si>
    <t>Scenario strutturale completo: D5 e G5 scenario-dipendenti via CHOOSE(B140). S1: D=17.5mln, G=26700€. S2/S3: D=21.0mln (+ 3.5mln autonomi INPS B143), G=25583€ (media ponderata B151). Rimosso moltiplicatore *B141 da Leva B (col O) e Leva D (col Q): propagazione ora avviene correttamente via D→M(=L%×D)→BRDP e leve. Aggiunti parametri: B143 (occupati_autonomi=3.5mln), B150 (salario_autonomi=20000€), B151 (salario_ponderato_s2), B152 (occupati_base_CHOOSE). B141 portato a 1 (deprecato come moltiplicatore).</t>
  </si>
  <si>
    <t>Modifica</t>
  </si>
  <si>
    <t>Pensione media: distinta tra 'singola prestazione' 1.218 €/mese e 'reddito pensionato' 1.718 €/mese</t>
  </si>
  <si>
    <t>Coefficiente trasformazione 67 anni: 5,723 % → 5,608 % (DM MEF 20/11/2024)</t>
  </si>
  <si>
    <t>Patrimonio fondi pensione: 220 mld (2023) → 244 mld (COVIP 2024)</t>
  </si>
  <si>
    <t>PIL Italia anno 0: 2.100 → 2.184 mld (ISTAT 2024)</t>
  </si>
  <si>
    <t>Crescita salari reali: +0,5 % → +0,05 % (Eurostat ILC_DI03 + HICP)</t>
  </si>
  <si>
    <t>Pensioni vigenti come variabile operativa: 16 mln → 21,3 mln (con riferimento 16,3 pensionati)</t>
  </si>
  <si>
    <t>Età pensionabile effettiva 63,8 aggiunta come parametro</t>
  </si>
  <si>
    <t>Spesa PAYG/PIL: traiettoria RGS (15,4 % → 17,1 % al 2040 → 14 % verso 2070) invece di costanza</t>
  </si>
  <si>
    <t>Perimetro Livello 1: dipendenti privati FPLD + dipendenti pubblici CTPS (17,5 mln)</t>
  </si>
  <si>
    <t>Migrazione netta 165k/anno × 70 % età lavorativa = +0,116 mln occupati/anno</t>
  </si>
  <si>
    <t>Tax gap previdenziale 10 mld/anno aggiunto (consultivo, non nel saldo riforma)</t>
  </si>
  <si>
    <t>Leva F (P0 sostitutivo) RIFORMULATA: risparmio = NUOVI pensionati × quota_nuovo_regime × (PensMedia − P0). Non più sullo stock totale.</t>
  </si>
  <si>
    <t>Phase-in P0: 50 → 35 anni (calibrato su flusso 600k nuovi/anno)</t>
  </si>
  <si>
    <t>Spread BRDP: 0,75 % → 1,5 % reale (per appetibilità senza coercizione)</t>
  </si>
  <si>
    <t>Assorbimento BRDP: 80 % volontario (irrealistico) → 30 % coercitivo modello PPM-svedese</t>
  </si>
  <si>
    <t>% conversione EET→TEE: 50 % → 30 % (realistica)</t>
  </si>
  <si>
    <t>Rendimento fondi P2 base: 5 % → 4 % + scenari 3/4/5 % per sensitivity</t>
  </si>
  <si>
    <t>Leva G — Sotto-indicizzazione progressiva: 6 mld/anno (media range 2-10 mld)</t>
  </si>
  <si>
    <t>Leva H — Revisione reversibilità superstiti: 5 mld/anno (media 4-6 mld)</t>
  </si>
  <si>
    <t>Leva I — Aggancio aspettativa di vita (riavvio 2027): 2,75 mld/anno (media 2,2-3,3)</t>
  </si>
  <si>
    <t>Leva J — Chiusura anticipazioni residue: 1 mld/anno (media 0,75-1,3)</t>
  </si>
  <si>
    <t>Totale 4 leve di ricalibrazione: 14,75 mld/anno a regime</t>
  </si>
  <si>
    <t>Fase I (anni 1-10): 6 % totale = 2 % BRDP + 4 % P2</t>
  </si>
  <si>
    <t>Fase II (anni 11-20): 6 % totale = 0 % BRDP + 6 % P2 (transizione del debito conclusa)</t>
  </si>
  <si>
    <t>Fase III (anni 21-30): 8 % totale = 0 % BRDP + 8 % P2 (commitment graduale)</t>
  </si>
  <si>
    <t>Foglio 'Confronto Bertonelli': cross-check riga per riga delle 22 voci</t>
  </si>
  <si>
    <t>Foglio 'Fonti': 30 riferimenti documentati con anno e uso nel modello</t>
  </si>
  <si>
    <t>Foglio 'Changelog': questo elenco</t>
  </si>
  <si>
    <t>v4 — 21/05/2026</t>
  </si>
  <si>
    <t>Bug fix colonna Z (Stock BRDP vivo): sostituita formula MIN-cap (hard-coded su Fase I) con MAX(0, finestra mobile 15 anni). Aggiornati parametri: B53=8%, B54=2%, B56=10%.</t>
  </si>
  <si>
    <t>v5 — 21/05/2026</t>
  </si>
  <si>
    <t>Estensione orizzonte 2060 + aggiornamento parametri RGS 26/2025 &amp; Ageing Report 2024</t>
  </si>
  <si>
    <t>Anno iniziale: 2026 → 2027 (Parametri B6). Allineato all'entrata in vigore della riforma ex L. delega 243/2012 e cronoprogramma MEF 2027.</t>
  </si>
  <si>
    <t>Orizzonte temporale: 30 → 34 anni (2027–2060, Parametri B7). Scelta motivata dalla coertura fino al 2060 dell'Ageing Report 2024 (European Commission, 2024).</t>
  </si>
  <si>
    <t>Parametro B36 'Anno fine orizzonte' aggiunto (=2060). La formula colonna I (Spesa PAYG/PIL) ora usa B36 come endpoint anziché anno hardcoded 2070.</t>
  </si>
  <si>
    <t>Spesa PAYG/PIL anno 0 (B32): 15,5 % → 16,0 % (Parametri). Fonte: RGS, Le tendenze di medio-lungo periodo del sistema pensionistico, n. 26 (2025), Tav. III.1.</t>
  </si>
  <si>
    <t>Picco spesa PAYG/PIL (B33): 16,0 % → 17,1 %. Anno picco (B35): 2038 → 2040. Fonte: RGS 26/2025, scenario base; confermato da Ageing Report 2024, Italy fiche Fig. 1.</t>
  </si>
  <si>
    <t>Spesa PAYG/PIL fine orizzonte (B34): 14,0 % → 14,1 % al 2060. Fonte: Ageing Report 2024, Italy country fiche, proiezione 2060 (14,1 % PIL). Nota: il valore 2070 AR2024 è 12,8 %, non usato nell'orizzonte attuale.</t>
  </si>
  <si>
    <t>PIL anno 0 (B19): 2.184 → 2.237 mld € (2027). Fonte: ISTAT, stima preliminare PIL 2025 = 2.189 mld; proiezione 2027 con +2,2 % nominale (DEF 2025, crescita reale 0,8 % + inflazione 1,3 %).</t>
  </si>
  <si>
    <t>Tasso crescita PIL (B20): 0,9 % → 0,8 % reale/anno a lungo termine. Fonte: Ageing Report 2024, Italy macro assumptions (AWG scenario), GDP growth rate 2030–2070.</t>
  </si>
  <si>
    <t>Salario medio (B21): 26.000 → 26.700 €/anno (2027). Fonte: ISTAT, Retribuzioni contrattuali, indice 2024; proiezione 2027 con +1,3 % nominale/anno.</t>
  </si>
  <si>
    <t>Pensionati (B8): 16,3 → 17,0 mln. Fonte: INPS, Osservatorio Pensioni, dicembre 2024 (17,0 mln beneficiari lordi, escl. sostitutiva).</t>
  </si>
  <si>
    <t>Pensioni vigenti (B9): 21,3 → 22,3 mln (prestazioni totali). Fonte: INPS, Casellario Centrale dei Pensionati 2024.</t>
  </si>
  <si>
    <t>Crescita PIL reale primo periodo (B14): 0,7 % → 0,6 % (2027–2035). Allineato alla stagnazione strutturale prevista da DEF 2025 e Ageing Report 2024.</t>
  </si>
  <si>
    <t>Nuovi Modello righe 35–38 (t=30–33, anni 2057–2060). Tutte le formule replicate con lo stesso schema delle righe precedenti. Stock BRDP: finestra mobile 15 anni MAX(0,...); Rimborso: =-R[t-15]; Saldo cumulativo in cascata.</t>
  </si>
  <si>
    <t>Switch biforcazione (B123, B124): aggiornati da t=5/12 a t=4/11 per compensare lo spostamento dell'anno 0 da 2026 a 2027 mantenendo le date calendario invariate (Fase I 2027-2030, Fase II 2031-2037, Fase III 2038+).</t>
  </si>
  <si>
    <t>Verifica numerica ex-post: Spesa PAYG/PIL 2027=16,0%, 2040=17,1%, 2050=15,6%, 2060=14,1% — tutti entro ±0,1 pp dai benchmark RGS 26/2025 e Ageing Report 2024. Stock BRDP: picco ~105,3 mld (2046), ≥0 per tutto l'orizzonte. ✓</t>
  </si>
  <si>
    <t>v5 → v5.1</t>
  </si>
  <si>
    <t>Aggiunto foglio 'Dinamica': matrici anno-per-anno per prospettiva lavoratori (P2 composto + BRDP composto con reinvestimento) e prospettiva Stato (stock BRDP 15y rolling + interessi + rimborsi). Rimossa Matrice C da Sensitivity (concettualmente errata: BRDP è investimento per lavoratori, non costo da sottrarre a P2).</t>
  </si>
  <si>
    <t>v5.1</t>
  </si>
  <si>
    <t>Fix Leva I (B128=0→0.14: step-up biennale 5% base) e Leva J (bug B129→B138=3 anni durata): formula colonna Y corretta su Modello e Modello_Pess. Aggiunto parametro B138 in Parametri.</t>
  </si>
  <si>
    <t>v5.2</t>
  </si>
  <si>
    <t>Fix quota_contrib B134: 0.91→0.728 (allineamento a H(t) totale 16% PIL, opzione b). Aggiunta struttura 3 scenari: B140 (selector), B141 (quota_copertura CHOOSE), B142 (immigrazione_effettiva CHOOSE). Modello+Modello_Pess: col D usa $B$142 per flusso migratorio; Leve B e D moltiplicate per $B$141.</t>
  </si>
  <si>
    <t>v8</t>
  </si>
  <si>
    <t>2027-05-28</t>
  </si>
  <si>
    <t>Base: v5 (pulito, RGS-consistent 17.5 mln). Aggiunta: BRDP esteri (Parametri B155-B157, default OFF). Aggiornate colonne AA/AB/AC/AE in Modello e Modello_Pess. Nessun'altra modifica rispetto a v5.</t>
  </si>
  <si>
    <t>v9 (28/05/2026)</t>
  </si>
  <si>
    <t>BRDP esteri — forecasting</t>
  </si>
  <si>
    <t>(1) Modello!AD e Modello_Pess!AD: rimborso capitale ora include sia Z(t-15) (interno) sia AA(t-15) (esteri); coerenza con AC che già aggrega cedole interne+esterne. (2) Dinamica: aggiunta SEZIONE IV (righe 98-108) con IVa emissione, IVb stock cumulato, IVc cedole, IVd rimborsi, IVe cedole cum, IVf flusso totale verso P2, IVg stock interni, IVh quota %, IVi raccordo Modello!AC. (3) Dinamica_Pess: identica SEZIONE IV (righe 80-90) con riferimenti Modello_Pess. (4) Output: nuova TABELLA 7 (BRDP esteri) dal R83 con 9 indicatori × 2 scenari × 34 anni + 4 scalari di sintesi. Switch: Parametri!B155 (0/1), importo: B156 (€mld/anno), spread: B157 (% reale su HICP).</t>
  </si>
  <si>
    <t>v10</t>
  </si>
  <si>
    <t>2026-05-30</t>
  </si>
  <si>
    <t>Output: Tab2 espansa (righe 14-51) con sezioni BRDP Totale/Interni/Esteri + Saldo fiscale. Tab1/3/4/5/6 intatte (shift +28 righe). Tab7 soppressa (contenuto in Tab2). Formule con riferimenti interni Output aggiornate correttamente. NOTA: incongruenza dichiarata su r_BRDP vs r_BRDP_est in Modello!AC (vedi discussione v10).</t>
  </si>
  <si>
    <t>v11</t>
  </si>
  <si>
    <t>BRDP ESTERI — correzione strutturale interno/esterno. (1) Parametri!B161 (spread esteri) ora =B67+0,5% (prima letterale 0,02): esteri sempre interno+0,5%. (2) Modello/Modello_Pess: nuove colonne AH (stock BRDP interno vivo = solo Z) e AI (rimborso capitale interno = solo Z). (3) Dinamica/Dinamica_Pess: montante P2 (Ia 10-25), stock detenuto P2 (Ib 29), cedole P2 (IIb 57-60) e rimborsi P2 (IIc 64) ora usano stock/rimborso INTERNO (AH/AI) invece dello stock TOTALE (AB/AD): le cedole e i rimborsi dei BRDP esteri non affluiscono più ai fondi P2 (vanno agli investitori esteri). Ic e IId/IIe si aggiornano di conseguenza. Modello!AC (costo Stato) invariato: già spezzato interno(B67)/esteri(B161). 2060/Output: nessuna modifica di formula (usano solo livelli di stock, ereditano i valori corretti). Label Sez IV allineate a B159/B160/B161.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</si>
</sst>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0"/>
    <numFmt numFmtId="167" formatCode="0.000%"/>
    <numFmt numFmtId="168" formatCode="#,##0.000"/>
    <numFmt numFmtId="169" formatCode="#,##0.0"/>
  </numFmts>
  <fonts count="41" x14ac:knownFonts="1">
    <font>
      <sz val="11"/>
      <color theme="1"/>
      <name val="Calibri"/>
      <family val="2"/>
      <charset val="1"/>
    </font>
    <font>
      <b/>
      <sz val="14"/>
      <color rgb="FF1D4ED8"/>
      <name val="Calibri"/>
      <family val="2"/>
      <charset val="1"/>
    </font>
    <font>
      <i/>
      <sz val="11"/>
      <color rgb="FF6B728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1E3A8A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i/>
      <sz val="9"/>
      <color rgb="FF555555"/>
      <name val="Arial"/>
      <family val="2"/>
    </font>
    <font>
      <b/>
      <sz val="10"/>
      <name val="Calibri"/>
      <family val="2"/>
      <charset val="1"/>
    </font>
    <font>
      <b/>
      <sz val="10"/>
      <color rgb="FF000000"/>
      <name val="Arial"/>
      <family val="2"/>
    </font>
    <font>
      <b/>
      <sz val="12"/>
      <color rgb="FF2E75B6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name val="Cambria"/>
      <family val="1"/>
    </font>
    <font>
      <b/>
      <sz val="13"/>
      <color rgb="FF1D4ED8"/>
      <name val="Calibri"/>
      <family val="2"/>
      <charset val="1"/>
    </font>
    <font>
      <i/>
      <sz val="8"/>
      <color rgb="FF7F00FF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9"/>
      <name val="Calibri"/>
      <family val="2"/>
      <charset val="1"/>
    </font>
    <font>
      <i/>
      <sz val="9"/>
      <color theme="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9"/>
      <color rgb="FF595959"/>
      <name val="Calibri"/>
      <family val="2"/>
      <charset val="1"/>
    </font>
    <font>
      <sz val="1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3" tint="-0.249977111117893"/>
      <name val="Arial"/>
      <family val="2"/>
    </font>
    <font>
      <sz val="11"/>
      <color theme="3" tint="-0.249977111117893"/>
      <name val="Calibri"/>
      <family val="2"/>
      <charset val="1"/>
    </font>
    <font>
      <b/>
      <sz val="9"/>
      <color theme="3" tint="-0.249977111117893"/>
      <name val="Arial"/>
      <family val="2"/>
    </font>
    <font>
      <b/>
      <sz val="10"/>
      <color rgb="FFFFFFFF"/>
      <name val="Arial"/>
      <family val="2"/>
    </font>
    <font>
      <b/>
      <sz val="10"/>
      <color rgb="FF2E75B6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  <font>
      <u/>
      <sz val="8"/>
      <color rgb="FF0563C1"/>
      <name val="Arial"/>
      <family val="2"/>
    </font>
    <font>
      <i/>
      <sz val="8"/>
      <color rgb="FF444444"/>
      <name val="Arial"/>
      <family val="2"/>
    </font>
    <font>
      <b/>
      <sz val="9"/>
      <color rgb="FF7F6000"/>
      <name val="Arial"/>
      <family val="2"/>
    </font>
    <font>
      <b/>
      <sz val="9"/>
      <color rgb="FFC00000"/>
      <name val="Arial"/>
      <family val="2"/>
    </font>
    <font>
      <i/>
      <sz val="9"/>
      <color rgb="FF555555"/>
      <name val="Arial"/>
      <family val="2"/>
    </font>
    <font>
      <b/>
      <sz val="10"/>
      <color rgb="FF1F3864"/>
      <name val="Arial"/>
      <family val="2"/>
    </font>
    <font>
      <b/>
      <sz val="12"/>
      <color rgb="FFFFFFFF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D4ED8"/>
        <bgColor rgb="FF1E3A8A"/>
      </patternFill>
    </fill>
    <fill>
      <patternFill patternType="solid">
        <fgColor rgb="FFDBEAFE"/>
        <bgColor rgb="FFDCEAFE"/>
      </patternFill>
    </fill>
    <fill>
      <patternFill patternType="solid">
        <fgColor rgb="FFDCFCE7"/>
        <bgColor rgb="FFD7FFD7"/>
      </patternFill>
    </fill>
    <fill>
      <patternFill patternType="solid">
        <fgColor rgb="FFFEF3C7"/>
        <bgColor rgb="FFFEF3C8"/>
      </patternFill>
    </fill>
    <fill>
      <patternFill patternType="solid">
        <fgColor theme="0"/>
        <bgColor rgb="FFF8FAFC"/>
      </patternFill>
    </fill>
    <fill>
      <patternFill patternType="solid">
        <fgColor rgb="FFFEF3C8"/>
        <bgColor rgb="FFFEF3C7"/>
      </patternFill>
    </fill>
    <fill>
      <patternFill patternType="solid">
        <fgColor rgb="FFDCEAFE"/>
        <bgColor rgb="FFDBEAFE"/>
      </patternFill>
    </fill>
    <fill>
      <patternFill patternType="solid">
        <fgColor rgb="FFFFFF00"/>
        <bgColor rgb="FFFFEFC0"/>
      </patternFill>
    </fill>
    <fill>
      <patternFill patternType="solid">
        <fgColor rgb="FF1F4E79"/>
        <bgColor rgb="FF2C3E6B"/>
      </patternFill>
    </fill>
    <fill>
      <patternFill patternType="solid">
        <fgColor rgb="FF2E75B6"/>
        <bgColor rgb="FF1D4ED8"/>
      </patternFill>
    </fill>
    <fill>
      <patternFill patternType="solid">
        <fgColor rgb="FFD7FFD7"/>
        <bgColor rgb="FFDCFCE7"/>
      </patternFill>
    </fill>
    <fill>
      <patternFill patternType="solid">
        <fgColor rgb="FF00BFFF"/>
        <bgColor rgb="FF2E75B6"/>
      </patternFill>
    </fill>
    <fill>
      <patternFill patternType="solid">
        <fgColor theme="7" tint="0.59987182226020086"/>
        <bgColor rgb="FFBFC8D2"/>
      </patternFill>
    </fill>
    <fill>
      <patternFill patternType="solid">
        <fgColor theme="9" tint="0.59987182226020086"/>
        <bgColor rgb="FFFFCCCC"/>
      </patternFill>
    </fill>
    <fill>
      <patternFill patternType="solid">
        <fgColor rgb="FFDDEEFF"/>
        <bgColor rgb="FFDCEAFE"/>
      </patternFill>
    </fill>
    <fill>
      <patternFill patternType="solid">
        <fgColor rgb="FFFFF2CC"/>
        <bgColor rgb="FFFEF3C8"/>
      </patternFill>
    </fill>
    <fill>
      <patternFill patternType="solid">
        <fgColor rgb="FF1F3864"/>
        <bgColor rgb="FF2C3E6B"/>
      </patternFill>
    </fill>
    <fill>
      <patternFill patternType="solid">
        <fgColor rgb="FF2C3E6B"/>
        <bgColor rgb="FF1F3864"/>
      </patternFill>
    </fill>
    <fill>
      <patternFill patternType="solid">
        <fgColor rgb="FFD9E8F5"/>
        <bgColor rgb="FFD5E8F0"/>
      </patternFill>
    </fill>
    <fill>
      <patternFill patternType="solid">
        <fgColor rgb="FFFFEFC0"/>
        <bgColor rgb="FFFEF3C7"/>
      </patternFill>
    </fill>
    <fill>
      <patternFill patternType="solid">
        <fgColor rgb="FFE9F0E9"/>
        <bgColor rgb="FFEDEDED"/>
      </patternFill>
    </fill>
    <fill>
      <patternFill patternType="solid">
        <fgColor rgb="FFEDEDED"/>
        <bgColor rgb="FFE9F0E9"/>
      </patternFill>
    </fill>
    <fill>
      <patternFill patternType="solid">
        <fgColor rgb="FFF8FAFC"/>
        <bgColor rgb="FFFFFFFF"/>
      </patternFill>
    </fill>
    <fill>
      <patternFill patternType="solid">
        <fgColor rgb="FFFFE699"/>
      </patternFill>
    </fill>
    <fill>
      <patternFill patternType="solid">
        <fgColor rgb="FFFFEFC0"/>
        <bgColor rgb="FFD9E8F5"/>
      </patternFill>
    </fill>
    <fill>
      <patternFill patternType="solid">
        <fgColor rgb="FFFFEFC0"/>
        <bgColor indexed="64"/>
      </patternFill>
    </fill>
    <fill>
      <patternFill patternType="solid">
        <fgColor rgb="FFFFEFC0"/>
        <bgColor rgb="FFFFE4E1"/>
      </patternFill>
    </fill>
    <fill>
      <patternFill patternType="solid">
        <fgColor rgb="FFFFEFC0"/>
        <bgColor rgb="FFFFD7D7"/>
      </patternFill>
    </fill>
    <fill>
      <patternFill patternType="solid">
        <fgColor rgb="FFFFEFC0"/>
        <bgColor rgb="FFE9F0E9"/>
      </patternFill>
    </fill>
    <fill>
      <patternFill patternType="solid">
        <fgColor rgb="FFFFEFC0"/>
        <bgColor rgb="FFFCE4D6"/>
      </patternFill>
    </fill>
    <fill>
      <patternFill patternType="solid">
        <fgColor rgb="FFDAE8F6"/>
        <bgColor rgb="FFD9E8F5"/>
      </patternFill>
    </fill>
    <fill>
      <patternFill patternType="solid">
        <fgColor rgb="FFDAE8F6"/>
        <bgColor indexed="64"/>
      </patternFill>
    </fill>
    <fill>
      <patternFill patternType="solid">
        <fgColor rgb="FFDAE8F6"/>
        <bgColor rgb="FFFFE4E1"/>
      </patternFill>
    </fill>
    <fill>
      <patternFill patternType="solid">
        <fgColor rgb="FFDAE8F6"/>
        <bgColor rgb="FFFFD7D7"/>
      </patternFill>
    </fill>
    <fill>
      <patternFill patternType="solid">
        <fgColor rgb="FFDAE8F6"/>
        <bgColor rgb="FFE9F0E9"/>
      </patternFill>
    </fill>
    <fill>
      <patternFill patternType="solid">
        <fgColor rgb="FFDAE8F6"/>
        <bgColor rgb="FFD5E8F0"/>
      </patternFill>
    </fill>
    <fill>
      <patternFill patternType="solid">
        <fgColor rgb="FFFFEFC0"/>
        <bgColor rgb="FFFEF3C8"/>
      </patternFill>
    </fill>
    <fill>
      <patternFill patternType="solid">
        <fgColor rgb="FFDCFCE7"/>
        <bgColor indexed="64"/>
      </patternFill>
    </fill>
    <fill>
      <patternFill patternType="solid">
        <fgColor rgb="FFDCFCE7"/>
        <bgColor rgb="FFD9EAD3"/>
      </patternFill>
    </fill>
    <fill>
      <patternFill patternType="solid">
        <fgColor rgb="FFDAE8F6"/>
        <bgColor rgb="FFD9EAD3"/>
      </patternFill>
    </fill>
    <fill>
      <patternFill patternType="solid">
        <fgColor rgb="FFDAE8F6"/>
        <bgColor rgb="FF2C3E6B"/>
      </patternFill>
    </fill>
    <fill>
      <patternFill patternType="solid">
        <fgColor rgb="FFDCFCE7"/>
        <bgColor rgb="FFD9E8F5"/>
      </patternFill>
    </fill>
    <fill>
      <patternFill patternType="solid">
        <fgColor rgb="FFDCFCE7"/>
        <bgColor rgb="FFF8FAFC"/>
      </patternFill>
    </fill>
    <fill>
      <patternFill patternType="solid">
        <fgColor rgb="FFDAE8F6"/>
        <bgColor rgb="FF1D4ED8"/>
      </patternFill>
    </fill>
    <fill>
      <patternFill patternType="solid">
        <fgColor rgb="FFFFFFFF"/>
        <b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FC0"/>
        <bgColor rgb="FF2C3E6B"/>
      </patternFill>
    </fill>
    <fill>
      <patternFill patternType="solid">
        <fgColor rgb="FFFFEFC0"/>
        <bgColor rgb="FF1D4ED8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D5E8F0"/>
      </patternFill>
    </fill>
  </fills>
  <borders count="9">
    <border>
      <left/>
      <right/>
      <top/>
      <bottom/>
      <diagonal/>
    </border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  <diagonal/>
    </border>
    <border>
      <left/>
      <right/>
      <top style="thin">
        <color theme="9" tint="0.39988402966399123"/>
      </top>
      <bottom style="thin">
        <color theme="9" tint="0.39988402966399123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FC8D2"/>
      </top>
      <bottom style="thin">
        <color rgb="FFBFC8D2"/>
      </bottom>
      <diagonal/>
    </border>
    <border>
      <left/>
      <right style="thin">
        <color rgb="FFBFC8D2"/>
      </right>
      <top style="thin">
        <color rgb="FFBFC8D2"/>
      </top>
      <bottom style="thin">
        <color rgb="FFBFC8D2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10" fontId="0" fillId="5" borderId="1" xfId="0" applyNumberForma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166" fontId="0" fillId="4" borderId="1" xfId="0" applyNumberFormat="1" applyFill="1" applyBorder="1" applyAlignment="1">
      <alignment horizontal="right" vertical="center"/>
    </xf>
    <xf numFmtId="167" fontId="0" fillId="4" borderId="1" xfId="0" applyNumberFormat="1" applyFill="1" applyBorder="1" applyAlignment="1">
      <alignment horizontal="right" vertical="center"/>
    </xf>
    <xf numFmtId="0" fontId="0" fillId="4" borderId="0" xfId="0" applyFill="1"/>
    <xf numFmtId="0" fontId="0" fillId="6" borderId="0" xfId="0" applyFill="1"/>
    <xf numFmtId="0" fontId="0" fillId="7" borderId="1" xfId="0" applyFill="1" applyBorder="1" applyAlignment="1">
      <alignment horizontal="left" vertical="center" wrapText="1"/>
    </xf>
    <xf numFmtId="10" fontId="0" fillId="7" borderId="1" xfId="0" applyNumberFormat="1" applyFill="1" applyBorder="1" applyAlignment="1">
      <alignment horizontal="right" vertical="center"/>
    </xf>
    <xf numFmtId="10" fontId="0" fillId="4" borderId="2" xfId="0" applyNumberFormat="1" applyFill="1" applyBorder="1"/>
    <xf numFmtId="0" fontId="0" fillId="9" borderId="0" xfId="0" applyFill="1"/>
    <xf numFmtId="0" fontId="0" fillId="0" borderId="0" xfId="0" applyAlignment="1">
      <alignment wrapText="1"/>
    </xf>
    <xf numFmtId="0" fontId="7" fillId="4" borderId="0" xfId="0" applyFont="1" applyFill="1"/>
    <xf numFmtId="0" fontId="7" fillId="0" borderId="0" xfId="0" applyFont="1"/>
    <xf numFmtId="0" fontId="5" fillId="0" borderId="0" xfId="0" applyFont="1"/>
    <xf numFmtId="0" fontId="0" fillId="10" borderId="0" xfId="0" applyFill="1"/>
    <xf numFmtId="0" fontId="1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12" borderId="1" xfId="0" applyFill="1" applyBorder="1" applyAlignment="1">
      <alignment horizontal="right" vertical="center"/>
    </xf>
    <xf numFmtId="0" fontId="0" fillId="13" borderId="1" xfId="0" applyFill="1" applyBorder="1" applyAlignment="1">
      <alignment horizontal="right" vertical="center"/>
    </xf>
    <xf numFmtId="168" fontId="0" fillId="12" borderId="1" xfId="0" applyNumberFormat="1" applyFill="1" applyBorder="1" applyAlignment="1">
      <alignment horizontal="right" vertical="center"/>
    </xf>
    <xf numFmtId="2" fontId="0" fillId="12" borderId="1" xfId="0" applyNumberFormat="1" applyFill="1" applyBorder="1" applyAlignment="1">
      <alignment horizontal="right" vertical="center"/>
    </xf>
    <xf numFmtId="169" fontId="0" fillId="12" borderId="1" xfId="0" applyNumberFormat="1" applyFill="1" applyBorder="1" applyAlignment="1">
      <alignment horizontal="right" vertical="center"/>
    </xf>
    <xf numFmtId="3" fontId="0" fillId="12" borderId="1" xfId="0" applyNumberFormat="1" applyFill="1" applyBorder="1" applyAlignment="1">
      <alignment horizontal="right" vertical="center"/>
    </xf>
    <xf numFmtId="10" fontId="0" fillId="12" borderId="1" xfId="0" applyNumberFormat="1" applyFill="1" applyBorder="1" applyAlignment="1">
      <alignment horizontal="right" vertical="center"/>
    </xf>
    <xf numFmtId="169" fontId="0" fillId="14" borderId="1" xfId="0" applyNumberFormat="1" applyFill="1" applyBorder="1" applyAlignment="1">
      <alignment horizontal="right" vertical="center"/>
    </xf>
    <xf numFmtId="4" fontId="0" fillId="14" borderId="1" xfId="0" applyNumberFormat="1" applyFill="1" applyBorder="1" applyAlignment="1">
      <alignment horizontal="right" vertical="center"/>
    </xf>
    <xf numFmtId="2" fontId="0" fillId="14" borderId="1" xfId="0" applyNumberFormat="1" applyFill="1" applyBorder="1" applyAlignment="1">
      <alignment horizontal="right" vertical="center"/>
    </xf>
    <xf numFmtId="4" fontId="0" fillId="15" borderId="1" xfId="0" applyNumberFormat="1" applyFill="1" applyBorder="1" applyAlignment="1">
      <alignment horizontal="right" vertical="center"/>
    </xf>
    <xf numFmtId="169" fontId="0" fillId="15" borderId="1" xfId="0" applyNumberFormat="1" applyFill="1" applyBorder="1" applyAlignment="1">
      <alignment horizontal="right" vertical="center"/>
    </xf>
    <xf numFmtId="2" fontId="0" fillId="15" borderId="0" xfId="0" applyNumberFormat="1" applyFill="1"/>
    <xf numFmtId="166" fontId="0" fillId="15" borderId="0" xfId="0" applyNumberFormat="1" applyFill="1"/>
    <xf numFmtId="4" fontId="0" fillId="16" borderId="1" xfId="0" applyNumberFormat="1" applyFill="1" applyBorder="1" applyAlignment="1">
      <alignment horizontal="right" vertical="center"/>
    </xf>
    <xf numFmtId="10" fontId="0" fillId="16" borderId="1" xfId="0" applyNumberFormat="1" applyFill="1" applyBorder="1" applyAlignment="1">
      <alignment horizontal="right" vertical="center"/>
    </xf>
    <xf numFmtId="10" fontId="0" fillId="9" borderId="1" xfId="0" applyNumberFormat="1" applyFill="1" applyBorder="1" applyAlignment="1">
      <alignment horizontal="right" vertical="center"/>
    </xf>
    <xf numFmtId="0" fontId="0" fillId="13" borderId="0" xfId="0" applyFill="1"/>
    <xf numFmtId="0" fontId="18" fillId="10" borderId="0" xfId="0" applyFont="1" applyFill="1"/>
    <xf numFmtId="0" fontId="19" fillId="0" borderId="0" xfId="0" applyFont="1"/>
    <xf numFmtId="0" fontId="18" fillId="11" borderId="0" xfId="0" applyFont="1" applyFill="1" applyAlignment="1">
      <alignment horizontal="center"/>
    </xf>
    <xf numFmtId="0" fontId="21" fillId="20" borderId="3" xfId="0" applyFont="1" applyFill="1" applyBorder="1" applyAlignment="1">
      <alignment horizontal="center" vertical="center"/>
    </xf>
    <xf numFmtId="0" fontId="21" fillId="20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/>
    </xf>
    <xf numFmtId="165" fontId="22" fillId="20" borderId="3" xfId="0" applyNumberFormat="1" applyFont="1" applyFill="1" applyBorder="1" applyAlignment="1">
      <alignment horizontal="center" vertical="center"/>
    </xf>
    <xf numFmtId="0" fontId="21" fillId="17" borderId="3" xfId="0" applyFont="1" applyFill="1" applyBorder="1" applyAlignment="1">
      <alignment horizontal="center" vertical="center"/>
    </xf>
    <xf numFmtId="0" fontId="21" fillId="17" borderId="3" xfId="0" applyFont="1" applyFill="1" applyBorder="1" applyAlignment="1">
      <alignment horizontal="left" vertical="center" wrapText="1"/>
    </xf>
    <xf numFmtId="10" fontId="22" fillId="17" borderId="3" xfId="0" applyNumberFormat="1" applyFont="1" applyFill="1" applyBorder="1" applyAlignment="1">
      <alignment horizontal="center" vertical="center"/>
    </xf>
    <xf numFmtId="10" fontId="22" fillId="21" borderId="3" xfId="0" applyNumberFormat="1" applyFont="1" applyFill="1" applyBorder="1" applyAlignment="1">
      <alignment horizontal="center" vertical="center"/>
    </xf>
    <xf numFmtId="10" fontId="22" fillId="20" borderId="3" xfId="0" applyNumberFormat="1" applyFont="1" applyFill="1" applyBorder="1" applyAlignment="1">
      <alignment horizontal="center" vertical="center"/>
    </xf>
    <xf numFmtId="0" fontId="18" fillId="18" borderId="3" xfId="0" applyFont="1" applyFill="1" applyBorder="1" applyAlignment="1">
      <alignment horizontal="left" vertical="center" wrapText="1"/>
    </xf>
    <xf numFmtId="0" fontId="20" fillId="19" borderId="3" xfId="0" applyFont="1" applyFill="1" applyBorder="1" applyAlignment="1">
      <alignment horizontal="left" vertical="center" wrapText="1"/>
    </xf>
    <xf numFmtId="0" fontId="23" fillId="19" borderId="3" xfId="0" applyFont="1" applyFill="1" applyBorder="1" applyAlignment="1">
      <alignment horizontal="left" vertical="center" wrapText="1"/>
    </xf>
    <xf numFmtId="0" fontId="18" fillId="18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left" vertical="center" wrapText="1"/>
    </xf>
    <xf numFmtId="0" fontId="18" fillId="11" borderId="3" xfId="0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horizontal="left" vertical="center" wrapText="1"/>
    </xf>
    <xf numFmtId="0" fontId="21" fillId="22" borderId="3" xfId="0" applyFont="1" applyFill="1" applyBorder="1" applyAlignment="1">
      <alignment horizontal="center" vertical="center"/>
    </xf>
    <xf numFmtId="165" fontId="21" fillId="22" borderId="3" xfId="0" applyNumberFormat="1" applyFont="1" applyFill="1" applyBorder="1" applyAlignment="1">
      <alignment horizontal="center" vertical="center"/>
    </xf>
    <xf numFmtId="165" fontId="22" fillId="17" borderId="3" xfId="0" applyNumberFormat="1" applyFont="1" applyFill="1" applyBorder="1" applyAlignment="1">
      <alignment horizontal="center" vertical="center"/>
    </xf>
    <xf numFmtId="169" fontId="22" fillId="20" borderId="3" xfId="0" applyNumberFormat="1" applyFont="1" applyFill="1" applyBorder="1" applyAlignment="1">
      <alignment horizontal="center" vertical="center"/>
    </xf>
    <xf numFmtId="169" fontId="22" fillId="17" borderId="3" xfId="0" applyNumberFormat="1" applyFont="1" applyFill="1" applyBorder="1" applyAlignment="1">
      <alignment horizontal="center" vertical="center"/>
    </xf>
    <xf numFmtId="0" fontId="21" fillId="23" borderId="3" xfId="0" applyFont="1" applyFill="1" applyBorder="1" applyAlignment="1">
      <alignment horizontal="left" vertical="center" wrapText="1"/>
    </xf>
    <xf numFmtId="2" fontId="21" fillId="23" borderId="3" xfId="0" applyNumberFormat="1" applyFont="1" applyFill="1" applyBorder="1" applyAlignment="1">
      <alignment horizontal="center" vertical="center"/>
    </xf>
    <xf numFmtId="0" fontId="22" fillId="23" borderId="3" xfId="0" applyFont="1" applyFill="1" applyBorder="1" applyAlignment="1">
      <alignment horizontal="left" vertical="center"/>
    </xf>
    <xf numFmtId="0" fontId="22" fillId="23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left" vertical="center" wrapText="1"/>
    </xf>
    <xf numFmtId="2" fontId="21" fillId="6" borderId="3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left" vertical="center"/>
    </xf>
    <xf numFmtId="0" fontId="22" fillId="6" borderId="3" xfId="0" applyFont="1" applyFill="1" applyBorder="1" applyAlignment="1">
      <alignment horizontal="center" vertical="center"/>
    </xf>
    <xf numFmtId="10" fontId="21" fillId="23" borderId="3" xfId="0" applyNumberFormat="1" applyFont="1" applyFill="1" applyBorder="1" applyAlignment="1">
      <alignment horizontal="center" vertical="center"/>
    </xf>
    <xf numFmtId="10" fontId="21" fillId="6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4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left" vertical="center" wrapText="1"/>
    </xf>
    <xf numFmtId="0" fontId="6" fillId="17" borderId="0" xfId="0" applyFont="1" applyFill="1"/>
    <xf numFmtId="0" fontId="24" fillId="0" borderId="0" xfId="0" applyFont="1"/>
    <xf numFmtId="0" fontId="25" fillId="25" borderId="0" xfId="0" applyFont="1" applyFill="1"/>
    <xf numFmtId="0" fontId="0" fillId="26" borderId="0" xfId="0" applyFill="1"/>
    <xf numFmtId="10" fontId="0" fillId="27" borderId="0" xfId="0" applyNumberFormat="1" applyFill="1"/>
    <xf numFmtId="0" fontId="0" fillId="27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10" fontId="0" fillId="33" borderId="0" xfId="0" applyNumberFormat="1" applyFill="1"/>
    <xf numFmtId="0" fontId="0" fillId="33" borderId="0" xfId="0" applyFill="1"/>
    <xf numFmtId="2" fontId="0" fillId="32" borderId="0" xfId="0" applyNumberFormat="1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0" fontId="0" fillId="28" borderId="0" xfId="0" applyFill="1"/>
    <xf numFmtId="0" fontId="21" fillId="37" borderId="3" xfId="0" applyFont="1" applyFill="1" applyBorder="1" applyAlignment="1">
      <alignment horizontal="left" vertical="center" wrapText="1"/>
    </xf>
    <xf numFmtId="0" fontId="21" fillId="37" borderId="3" xfId="0" applyFont="1" applyFill="1" applyBorder="1" applyAlignment="1">
      <alignment horizontal="center" vertical="center"/>
    </xf>
    <xf numFmtId="165" fontId="22" fillId="37" borderId="3" xfId="0" applyNumberFormat="1" applyFont="1" applyFill="1" applyBorder="1" applyAlignment="1">
      <alignment horizontal="center" vertical="center"/>
    </xf>
    <xf numFmtId="169" fontId="22" fillId="37" borderId="3" xfId="0" applyNumberFormat="1" applyFont="1" applyFill="1" applyBorder="1" applyAlignment="1">
      <alignment horizontal="center" vertical="center"/>
    </xf>
    <xf numFmtId="0" fontId="21" fillId="38" borderId="3" xfId="0" applyFont="1" applyFill="1" applyBorder="1" applyAlignment="1">
      <alignment horizontal="left" vertical="center" wrapText="1"/>
    </xf>
    <xf numFmtId="0" fontId="21" fillId="38" borderId="3" xfId="0" applyFont="1" applyFill="1" applyBorder="1" applyAlignment="1">
      <alignment horizontal="center" vertical="center"/>
    </xf>
    <xf numFmtId="165" fontId="22" fillId="38" borderId="3" xfId="0" applyNumberFormat="1" applyFont="1" applyFill="1" applyBorder="1" applyAlignment="1">
      <alignment horizontal="center" vertical="center"/>
    </xf>
    <xf numFmtId="169" fontId="22" fillId="38" borderId="3" xfId="0" applyNumberFormat="1" applyFont="1" applyFill="1" applyBorder="1" applyAlignment="1">
      <alignment horizontal="center" vertical="center"/>
    </xf>
    <xf numFmtId="0" fontId="6" fillId="0" borderId="0" xfId="0" applyFont="1"/>
    <xf numFmtId="2" fontId="0" fillId="0" borderId="0" xfId="0" applyNumberFormat="1"/>
    <xf numFmtId="10" fontId="0" fillId="0" borderId="0" xfId="0" applyNumberFormat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8" fillId="0" borderId="0" xfId="0" applyFont="1"/>
    <xf numFmtId="0" fontId="25" fillId="0" borderId="0" xfId="0" applyFont="1"/>
    <xf numFmtId="4" fontId="0" fillId="0" borderId="0" xfId="0" applyNumberFormat="1"/>
    <xf numFmtId="0" fontId="0" fillId="39" borderId="0" xfId="0" applyFill="1"/>
    <xf numFmtId="0" fontId="7" fillId="39" borderId="0" xfId="0" applyFont="1" applyFill="1"/>
    <xf numFmtId="0" fontId="9" fillId="39" borderId="0" xfId="0" applyFont="1" applyFill="1"/>
    <xf numFmtId="0" fontId="10" fillId="39" borderId="0" xfId="0" applyFont="1" applyFill="1"/>
    <xf numFmtId="0" fontId="11" fillId="39" borderId="0" xfId="0" applyFont="1" applyFill="1"/>
    <xf numFmtId="166" fontId="0" fillId="39" borderId="0" xfId="0" applyNumberFormat="1" applyFill="1"/>
    <xf numFmtId="0" fontId="0" fillId="40" borderId="0" xfId="0" applyFill="1"/>
    <xf numFmtId="0" fontId="26" fillId="33" borderId="0" xfId="0" applyFont="1" applyFill="1"/>
    <xf numFmtId="0" fontId="8" fillId="41" borderId="0" xfId="0" applyFont="1" applyFill="1"/>
    <xf numFmtId="0" fontId="27" fillId="42" borderId="0" xfId="0" applyFont="1" applyFill="1"/>
    <xf numFmtId="0" fontId="28" fillId="42" borderId="0" xfId="0" applyFont="1" applyFill="1"/>
    <xf numFmtId="0" fontId="28" fillId="33" borderId="0" xfId="0" applyFont="1" applyFill="1"/>
    <xf numFmtId="0" fontId="14" fillId="33" borderId="0" xfId="0" applyFont="1" applyFill="1"/>
    <xf numFmtId="0" fontId="12" fillId="43" borderId="0" xfId="0" applyFont="1" applyFill="1"/>
    <xf numFmtId="0" fontId="13" fillId="43" borderId="0" xfId="0" applyFont="1" applyFill="1"/>
    <xf numFmtId="0" fontId="12" fillId="44" borderId="0" xfId="0" applyFont="1" applyFill="1"/>
    <xf numFmtId="0" fontId="13" fillId="44" borderId="0" xfId="0" applyFont="1" applyFill="1"/>
    <xf numFmtId="164" fontId="0" fillId="40" borderId="0" xfId="0" applyNumberFormat="1" applyFill="1"/>
    <xf numFmtId="0" fontId="29" fillId="45" borderId="0" xfId="0" applyFont="1" applyFill="1"/>
    <xf numFmtId="0" fontId="0" fillId="46" borderId="0" xfId="0" applyFill="1"/>
    <xf numFmtId="2" fontId="0" fillId="47" borderId="0" xfId="0" applyNumberFormat="1" applyFill="1"/>
    <xf numFmtId="0" fontId="18" fillId="48" borderId="3" xfId="0" applyFont="1" applyFill="1" applyBorder="1" applyAlignment="1">
      <alignment horizontal="center" vertical="center"/>
    </xf>
    <xf numFmtId="0" fontId="18" fillId="49" borderId="0" xfId="0" applyFont="1" applyFill="1" applyAlignment="1">
      <alignment horizontal="center"/>
    </xf>
    <xf numFmtId="0" fontId="21" fillId="0" borderId="3" xfId="0" applyFont="1" applyBorder="1" applyAlignment="1">
      <alignment horizontal="left" vertical="center" wrapText="1"/>
    </xf>
    <xf numFmtId="10" fontId="21" fillId="0" borderId="3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/>
    </xf>
    <xf numFmtId="0" fontId="21" fillId="20" borderId="3" xfId="0" applyFont="1" applyFill="1" applyBorder="1" applyAlignment="1">
      <alignment horizontal="center" vertical="center" wrapText="1"/>
    </xf>
    <xf numFmtId="0" fontId="21" fillId="17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10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32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26" borderId="0" xfId="0" applyFill="1" applyAlignment="1">
      <alignment horizontal="left"/>
    </xf>
    <xf numFmtId="0" fontId="0" fillId="30" borderId="0" xfId="0" applyFill="1" applyAlignment="1">
      <alignment horizontal="left"/>
    </xf>
    <xf numFmtId="0" fontId="0" fillId="29" borderId="0" xfId="0" applyFill="1" applyAlignment="1">
      <alignment horizontal="left"/>
    </xf>
    <xf numFmtId="0" fontId="0" fillId="31" borderId="0" xfId="0" applyFill="1" applyAlignment="1">
      <alignment horizontal="left"/>
    </xf>
    <xf numFmtId="0" fontId="30" fillId="51" borderId="8" xfId="0" applyFont="1" applyFill="1" applyBorder="1" applyAlignment="1">
      <alignment horizontal="center" vertical="center" wrapText="1"/>
    </xf>
    <xf numFmtId="0" fontId="31" fillId="52" borderId="8" xfId="0" applyFont="1" applyFill="1" applyBorder="1" applyAlignment="1">
      <alignment horizontal="center" vertical="top" wrapText="1"/>
    </xf>
    <xf numFmtId="0" fontId="32" fillId="52" borderId="8" xfId="0" applyFont="1" applyFill="1" applyBorder="1" applyAlignment="1">
      <alignment horizontal="left" vertical="top" wrapText="1"/>
    </xf>
    <xf numFmtId="0" fontId="33" fillId="53" borderId="8" xfId="0" applyFont="1" applyFill="1" applyBorder="1" applyAlignment="1">
      <alignment horizontal="left" vertical="top" wrapText="1"/>
    </xf>
    <xf numFmtId="0" fontId="34" fillId="52" borderId="8" xfId="0" applyFont="1" applyFill="1" applyBorder="1" applyAlignment="1">
      <alignment horizontal="left" vertical="top" wrapText="1"/>
    </xf>
    <xf numFmtId="0" fontId="35" fillId="52" borderId="8" xfId="0" applyFont="1" applyFill="1" applyBorder="1" applyAlignment="1">
      <alignment horizontal="left" vertical="top" wrapText="1"/>
    </xf>
    <xf numFmtId="0" fontId="31" fillId="54" borderId="8" xfId="0" applyFont="1" applyFill="1" applyBorder="1" applyAlignment="1">
      <alignment horizontal="center" vertical="top" wrapText="1"/>
    </xf>
    <xf numFmtId="0" fontId="32" fillId="54" borderId="8" xfId="0" applyFont="1" applyFill="1" applyBorder="1" applyAlignment="1">
      <alignment horizontal="left" vertical="top" wrapText="1"/>
    </xf>
    <xf numFmtId="0" fontId="34" fillId="54" borderId="8" xfId="0" applyFont="1" applyFill="1" applyBorder="1" applyAlignment="1">
      <alignment horizontal="left" vertical="top" wrapText="1"/>
    </xf>
    <xf numFmtId="0" fontId="35" fillId="54" borderId="8" xfId="0" applyFont="1" applyFill="1" applyBorder="1" applyAlignment="1">
      <alignment horizontal="left" vertical="top" wrapText="1"/>
    </xf>
    <xf numFmtId="0" fontId="36" fillId="55" borderId="8" xfId="0" applyFont="1" applyFill="1" applyBorder="1" applyAlignment="1">
      <alignment horizontal="left" vertical="top" wrapText="1"/>
    </xf>
    <xf numFmtId="0" fontId="37" fillId="56" borderId="8" xfId="0" applyFont="1" applyFill="1" applyBorder="1" applyAlignment="1">
      <alignment horizontal="left" vertical="top" wrapText="1"/>
    </xf>
    <xf numFmtId="0" fontId="40" fillId="50" borderId="8" xfId="0" applyFont="1" applyFill="1" applyBorder="1" applyAlignment="1">
      <alignment horizontal="left" vertical="center"/>
    </xf>
    <xf numFmtId="0" fontId="0" fillId="50" borderId="8" xfId="0" applyFill="1" applyBorder="1"/>
    <xf numFmtId="0" fontId="32" fillId="52" borderId="8" xfId="0" applyFont="1" applyFill="1" applyBorder="1" applyAlignment="1">
      <alignment horizontal="center" vertical="top" wrapText="1"/>
    </xf>
    <xf numFmtId="0" fontId="32" fillId="54" borderId="8" xfId="0" applyFont="1" applyFill="1" applyBorder="1" applyAlignment="1">
      <alignment horizontal="center" vertical="top" wrapText="1"/>
    </xf>
    <xf numFmtId="0" fontId="38" fillId="57" borderId="8" xfId="0" applyFont="1" applyFill="1" applyBorder="1"/>
    <xf numFmtId="0" fontId="0" fillId="57" borderId="8" xfId="0" applyFill="1" applyBorder="1"/>
    <xf numFmtId="0" fontId="39" fillId="57" borderId="8" xfId="0" applyFont="1" applyFill="1" applyBorder="1"/>
    <xf numFmtId="164" fontId="0" fillId="32" borderId="0" xfId="0" applyNumberFormat="1" applyFill="1"/>
    <xf numFmtId="164" fontId="0" fillId="28" borderId="0" xfId="0" applyNumberFormat="1" applyFill="1"/>
    <xf numFmtId="164" fontId="0" fillId="35" borderId="0" xfId="0" applyNumberFormat="1" applyFill="1"/>
    <xf numFmtId="164" fontId="0" fillId="29" borderId="0" xfId="0" applyNumberFormat="1" applyFill="1"/>
    <xf numFmtId="0" fontId="15" fillId="0" borderId="0" xfId="0" applyFont="1"/>
    <xf numFmtId="0" fontId="0" fillId="0" borderId="0" xfId="0"/>
    <xf numFmtId="0" fontId="2" fillId="0" borderId="0" xfId="0" applyFont="1"/>
    <xf numFmtId="0" fontId="6" fillId="8" borderId="0" xfId="0" applyFont="1" applyFill="1" applyAlignment="1">
      <alignment horizontal="left"/>
    </xf>
    <xf numFmtId="0" fontId="1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8" fillId="11" borderId="0" xfId="0" applyFont="1" applyFill="1" applyAlignment="1">
      <alignment horizontal="center"/>
    </xf>
    <xf numFmtId="0" fontId="18" fillId="11" borderId="3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0" fillId="19" borderId="0" xfId="0" applyFont="1" applyFill="1" applyAlignment="1">
      <alignment horizontal="left" vertical="center" wrapText="1"/>
    </xf>
    <xf numFmtId="0" fontId="18" fillId="18" borderId="0" xfId="0" applyFont="1" applyFill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351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EEAF1"/>
      <rgbColor rgb="FF0000FF"/>
      <rgbColor rgb="FFFFFF00"/>
      <rgbColor rgb="FFFF00FF"/>
      <rgbColor rgb="FFDBEAFE"/>
      <rgbColor rgb="FF800000"/>
      <rgbColor rgb="FF008000"/>
      <rgbColor rgb="FF000080"/>
      <rgbColor rgb="FFE2EFDA"/>
      <rgbColor rgb="FF7F00FF"/>
      <rgbColor rgb="FF1F4E79"/>
      <rgbColor rgb="FFBFC8D2"/>
      <rgbColor rgb="FF595959"/>
      <rgbColor rgb="FFD5E8F0"/>
      <rgbColor rgb="FFEDEDED"/>
      <rgbColor rgb="FFFEF3C8"/>
      <rgbColor rgb="FFDCFCE7"/>
      <rgbColor rgb="FF660066"/>
      <rgbColor rgb="FFFCE4D6"/>
      <rgbColor rgb="FF1D4ED8"/>
      <rgbColor rgb="FFBDD7EE"/>
      <rgbColor rgb="FF000080"/>
      <rgbColor rgb="FFFF00FF"/>
      <rgbColor rgb="FFFFEFC0"/>
      <rgbColor rgb="FFDCEAFE"/>
      <rgbColor rgb="FF800080"/>
      <rgbColor rgb="FF800000"/>
      <rgbColor rgb="FFF8FAFC"/>
      <rgbColor rgb="FF0000FF"/>
      <rgbColor rgb="FF00BFFF"/>
      <rgbColor rgb="FFDDEEFF"/>
      <rgbColor rgb="FFD7FFD7"/>
      <rgbColor rgb="FFFEF3C7"/>
      <rgbColor rgb="FFCCC1DA"/>
      <rgbColor rgb="FFFFCCCC"/>
      <rgbColor rgb="FFFFD7D7"/>
      <rgbColor rgb="FFFAC090"/>
      <rgbColor rgb="FF2E75B6"/>
      <rgbColor rgb="FFD9EAD3"/>
      <rgbColor rgb="FFC6EFCE"/>
      <rgbColor rgb="FFFCD5B5"/>
      <rgbColor rgb="FFFFE4E1"/>
      <rgbColor rgb="FFFFF2CC"/>
      <rgbColor rgb="FF6B7280"/>
      <rgbColor rgb="FFD6E4BC"/>
      <rgbColor rgb="FF1F3864"/>
      <rgbColor rgb="FFD9E8F5"/>
      <rgbColor rgb="FF003300"/>
      <rgbColor rgb="FF555555"/>
      <rgbColor rgb="FF993300"/>
      <rgbColor rgb="FFE9F0E9"/>
      <rgbColor rgb="FF1E3A8A"/>
      <rgbColor rgb="FF2C3E6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AK25" totalsRowShown="0" headerRowDxfId="350" dataDxfId="349">
  <autoFilter ref="A9:AK25" xr:uid="{00000000-0009-0000-0100-000001000000}"/>
  <tableColumns count="37">
    <tableColumn id="1" xr3:uid="{00000000-0010-0000-0000-000001000000}" name="Ia: Montante P2 (scenario r_BRDP_r, rf_r)" dataDxfId="348"/>
    <tableColumn id="2" xr3:uid="{00000000-0010-0000-0000-000002000000}" name="r_BRDP_r" dataDxfId="347"/>
    <tableColumn id="3" xr3:uid="{00000000-0010-0000-0000-000003000000}" name="rf_r" dataDxfId="346"/>
    <tableColumn id="4" xr3:uid="{00000000-0010-0000-0000-000004000000}" name="2027" dataDxfId="345"/>
    <tableColumn id="5" xr3:uid="{00000000-0010-0000-0000-000005000000}" name="2028" dataDxfId="344"/>
    <tableColumn id="6" xr3:uid="{00000000-0010-0000-0000-000006000000}" name="2029" dataDxfId="343"/>
    <tableColumn id="7" xr3:uid="{00000000-0010-0000-0000-000007000000}" name="2030" dataDxfId="342"/>
    <tableColumn id="8" xr3:uid="{00000000-0010-0000-0000-000008000000}" name="2031" dataDxfId="341"/>
    <tableColumn id="9" xr3:uid="{00000000-0010-0000-0000-000009000000}" name="2032" dataDxfId="340"/>
    <tableColumn id="10" xr3:uid="{00000000-0010-0000-0000-00000A000000}" name="2033" dataDxfId="339"/>
    <tableColumn id="11" xr3:uid="{00000000-0010-0000-0000-00000B000000}" name="2034" dataDxfId="338"/>
    <tableColumn id="12" xr3:uid="{00000000-0010-0000-0000-00000C000000}" name="2035" dataDxfId="337"/>
    <tableColumn id="13" xr3:uid="{00000000-0010-0000-0000-00000D000000}" name="2036" dataDxfId="336"/>
    <tableColumn id="14" xr3:uid="{00000000-0010-0000-0000-00000E000000}" name="2037" dataDxfId="335"/>
    <tableColumn id="15" xr3:uid="{00000000-0010-0000-0000-00000F000000}" name="2038" dataDxfId="334"/>
    <tableColumn id="16" xr3:uid="{00000000-0010-0000-0000-000010000000}" name="2039" dataDxfId="333"/>
    <tableColumn id="17" xr3:uid="{00000000-0010-0000-0000-000011000000}" name="2040" dataDxfId="332"/>
    <tableColumn id="18" xr3:uid="{00000000-0010-0000-0000-000012000000}" name="2041" dataDxfId="331"/>
    <tableColumn id="19" xr3:uid="{00000000-0010-0000-0000-000013000000}" name="2042" dataDxfId="330"/>
    <tableColumn id="20" xr3:uid="{00000000-0010-0000-0000-000014000000}" name="2043" dataDxfId="329"/>
    <tableColumn id="21" xr3:uid="{00000000-0010-0000-0000-000015000000}" name="2044" dataDxfId="328"/>
    <tableColumn id="22" xr3:uid="{00000000-0010-0000-0000-000016000000}" name="2045" dataDxfId="327"/>
    <tableColumn id="23" xr3:uid="{00000000-0010-0000-0000-000017000000}" name="2046" dataDxfId="326"/>
    <tableColumn id="24" xr3:uid="{00000000-0010-0000-0000-000018000000}" name="2047" dataDxfId="325"/>
    <tableColumn id="25" xr3:uid="{00000000-0010-0000-0000-000019000000}" name="2048" dataDxfId="324"/>
    <tableColumn id="26" xr3:uid="{00000000-0010-0000-0000-00001A000000}" name="2049" dataDxfId="323"/>
    <tableColumn id="27" xr3:uid="{00000000-0010-0000-0000-00001B000000}" name="2050" dataDxfId="322"/>
    <tableColumn id="28" xr3:uid="{00000000-0010-0000-0000-00001C000000}" name="2051" dataDxfId="321"/>
    <tableColumn id="29" xr3:uid="{00000000-0010-0000-0000-00001D000000}" name="2052" dataDxfId="320"/>
    <tableColumn id="30" xr3:uid="{00000000-0010-0000-0000-00001E000000}" name="2053" dataDxfId="319"/>
    <tableColumn id="31" xr3:uid="{00000000-0010-0000-0000-00001F000000}" name="2054" dataDxfId="318"/>
    <tableColumn id="32" xr3:uid="{00000000-0010-0000-0000-000020000000}" name="2055" dataDxfId="317"/>
    <tableColumn id="33" xr3:uid="{00000000-0010-0000-0000-000021000000}" name="2056" dataDxfId="316"/>
    <tableColumn id="34" xr3:uid="{00000000-0010-0000-0000-000022000000}" name="2057" dataDxfId="315"/>
    <tableColumn id="35" xr3:uid="{00000000-0010-0000-0000-000023000000}" name="2058" dataDxfId="314"/>
    <tableColumn id="36" xr3:uid="{00000000-0010-0000-0000-000024000000}" name="2059" dataDxfId="313"/>
    <tableColumn id="37" xr3:uid="{00000000-0010-0000-0000-000025000000}" name="2060" dataDxfId="3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" displayName="Table10" ref="A63:AK64" totalsRowShown="0" headerRowDxfId="311" dataDxfId="310">
  <autoFilter ref="A63:AK64" xr:uid="{00000000-0009-0000-0100-000002000000}"/>
  <tableColumns count="37">
    <tableColumn id="1" xr3:uid="{00000000-0010-0000-0100-000001000000}" name="IIc: Rimborsi capitale BRDP INTERNO (inflow a P2, €mld reali €2027)" dataDxfId="309"/>
    <tableColumn id="2" xr3:uid="{00000000-0010-0000-0100-000002000000}" name="r_BRDP_r" dataDxfId="308"/>
    <tableColumn id="3" xr3:uid="{00000000-0010-0000-0100-000003000000}" name="rf_r" dataDxfId="307"/>
    <tableColumn id="4" xr3:uid="{00000000-0010-0000-0100-000004000000}" name="2027" dataDxfId="306"/>
    <tableColumn id="5" xr3:uid="{00000000-0010-0000-0100-000005000000}" name="2028" dataDxfId="305"/>
    <tableColumn id="6" xr3:uid="{00000000-0010-0000-0100-000006000000}" name="2029" dataDxfId="304"/>
    <tableColumn id="7" xr3:uid="{00000000-0010-0000-0100-000007000000}" name="2030" dataDxfId="303"/>
    <tableColumn id="8" xr3:uid="{00000000-0010-0000-0100-000008000000}" name="2031" dataDxfId="302"/>
    <tableColumn id="9" xr3:uid="{00000000-0010-0000-0100-000009000000}" name="2032" dataDxfId="301"/>
    <tableColumn id="10" xr3:uid="{00000000-0010-0000-0100-00000A000000}" name="2033" dataDxfId="300"/>
    <tableColumn id="11" xr3:uid="{00000000-0010-0000-0100-00000B000000}" name="2034" dataDxfId="299"/>
    <tableColumn id="12" xr3:uid="{00000000-0010-0000-0100-00000C000000}" name="2035" dataDxfId="298"/>
    <tableColumn id="13" xr3:uid="{00000000-0010-0000-0100-00000D000000}" name="2036" dataDxfId="297"/>
    <tableColumn id="14" xr3:uid="{00000000-0010-0000-0100-00000E000000}" name="2037" dataDxfId="296"/>
    <tableColumn id="15" xr3:uid="{00000000-0010-0000-0100-00000F000000}" name="2038" dataDxfId="295"/>
    <tableColumn id="16" xr3:uid="{00000000-0010-0000-0100-000010000000}" name="2039" dataDxfId="294"/>
    <tableColumn id="17" xr3:uid="{00000000-0010-0000-0100-000011000000}" name="2040" dataDxfId="293"/>
    <tableColumn id="18" xr3:uid="{00000000-0010-0000-0100-000012000000}" name="2041" dataDxfId="292"/>
    <tableColumn id="19" xr3:uid="{00000000-0010-0000-0100-000013000000}" name="2042" dataDxfId="291"/>
    <tableColumn id="20" xr3:uid="{00000000-0010-0000-0100-000014000000}" name="2043" dataDxfId="290"/>
    <tableColumn id="21" xr3:uid="{00000000-0010-0000-0100-000015000000}" name="2044" dataDxfId="289"/>
    <tableColumn id="22" xr3:uid="{00000000-0010-0000-0100-000016000000}" name="2045" dataDxfId="288"/>
    <tableColumn id="23" xr3:uid="{00000000-0010-0000-0100-000017000000}" name="2046" dataDxfId="287"/>
    <tableColumn id="24" xr3:uid="{00000000-0010-0000-0100-000018000000}" name="2047" dataDxfId="286"/>
    <tableColumn id="25" xr3:uid="{00000000-0010-0000-0100-000019000000}" name="2048" dataDxfId="285"/>
    <tableColumn id="26" xr3:uid="{00000000-0010-0000-0100-00001A000000}" name="2049" dataDxfId="284"/>
    <tableColumn id="27" xr3:uid="{00000000-0010-0000-0100-00001B000000}" name="2050" dataDxfId="283"/>
    <tableColumn id="28" xr3:uid="{00000000-0010-0000-0100-00001C000000}" name="2051" dataDxfId="282"/>
    <tableColumn id="29" xr3:uid="{00000000-0010-0000-0100-00001D000000}" name="2052" dataDxfId="281"/>
    <tableColumn id="30" xr3:uid="{00000000-0010-0000-0100-00001E000000}" name="2053" dataDxfId="280"/>
    <tableColumn id="31" xr3:uid="{00000000-0010-0000-0100-00001F000000}" name="2054" dataDxfId="279"/>
    <tableColumn id="32" xr3:uid="{00000000-0010-0000-0100-000020000000}" name="2055" dataDxfId="278"/>
    <tableColumn id="33" xr3:uid="{00000000-0010-0000-0100-000021000000}" name="2056" dataDxfId="277"/>
    <tableColumn id="34" xr3:uid="{00000000-0010-0000-0100-000022000000}" name="2057" dataDxfId="276"/>
    <tableColumn id="35" xr3:uid="{00000000-0010-0000-0100-000023000000}" name="2058" dataDxfId="275"/>
    <tableColumn id="36" xr3:uid="{00000000-0010-0000-0100-000024000000}" name="2059" dataDxfId="274"/>
    <tableColumn id="37" xr3:uid="{00000000-0010-0000-0100-000025000000}" name="2060" dataDxfId="2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1" displayName="Table11" ref="A67:AK71" totalsRowShown="0" headerRowDxfId="272" dataDxfId="271">
  <autoFilter ref="A67:AK71" xr:uid="{00000000-0009-0000-0100-000003000000}"/>
  <tableColumns count="37">
    <tableColumn id="1" xr3:uid="{00000000-0010-0000-0200-000001000000}" name="IId: Flusso BRDP totale verso P2 = Cedole + Rimborsi (€mld reali €2027)" dataDxfId="270"/>
    <tableColumn id="2" xr3:uid="{00000000-0010-0000-0200-000002000000}" name="r_BRDP_r" dataDxfId="269"/>
    <tableColumn id="3" xr3:uid="{00000000-0010-0000-0200-000003000000}" name="rf_r" dataDxfId="268"/>
    <tableColumn id="4" xr3:uid="{00000000-0010-0000-0200-000004000000}" name="2027" dataDxfId="267"/>
    <tableColumn id="5" xr3:uid="{00000000-0010-0000-0200-000005000000}" name="2028" dataDxfId="266"/>
    <tableColumn id="6" xr3:uid="{00000000-0010-0000-0200-000006000000}" name="2029" dataDxfId="265"/>
    <tableColumn id="7" xr3:uid="{00000000-0010-0000-0200-000007000000}" name="2030" dataDxfId="264"/>
    <tableColumn id="8" xr3:uid="{00000000-0010-0000-0200-000008000000}" name="2031" dataDxfId="263"/>
    <tableColumn id="9" xr3:uid="{00000000-0010-0000-0200-000009000000}" name="2032" dataDxfId="262"/>
    <tableColumn id="10" xr3:uid="{00000000-0010-0000-0200-00000A000000}" name="2033" dataDxfId="261"/>
    <tableColumn id="11" xr3:uid="{00000000-0010-0000-0200-00000B000000}" name="2034" dataDxfId="260"/>
    <tableColumn id="12" xr3:uid="{00000000-0010-0000-0200-00000C000000}" name="2035" dataDxfId="259"/>
    <tableColumn id="13" xr3:uid="{00000000-0010-0000-0200-00000D000000}" name="2036" dataDxfId="258"/>
    <tableColumn id="14" xr3:uid="{00000000-0010-0000-0200-00000E000000}" name="2037" dataDxfId="257"/>
    <tableColumn id="15" xr3:uid="{00000000-0010-0000-0200-00000F000000}" name="2038" dataDxfId="256"/>
    <tableColumn id="16" xr3:uid="{00000000-0010-0000-0200-000010000000}" name="2039" dataDxfId="255"/>
    <tableColumn id="17" xr3:uid="{00000000-0010-0000-0200-000011000000}" name="2040" dataDxfId="254"/>
    <tableColumn id="18" xr3:uid="{00000000-0010-0000-0200-000012000000}" name="2041" dataDxfId="253"/>
    <tableColumn id="19" xr3:uid="{00000000-0010-0000-0200-000013000000}" name="2042" dataDxfId="252"/>
    <tableColumn id="20" xr3:uid="{00000000-0010-0000-0200-000014000000}" name="2043" dataDxfId="251"/>
    <tableColumn id="21" xr3:uid="{00000000-0010-0000-0200-000015000000}" name="2044" dataDxfId="250"/>
    <tableColumn id="22" xr3:uid="{00000000-0010-0000-0200-000016000000}" name="2045" dataDxfId="249"/>
    <tableColumn id="23" xr3:uid="{00000000-0010-0000-0200-000017000000}" name="2046" dataDxfId="248"/>
    <tableColumn id="24" xr3:uid="{00000000-0010-0000-0200-000018000000}" name="2047" dataDxfId="247"/>
    <tableColumn id="25" xr3:uid="{00000000-0010-0000-0200-000019000000}" name="2048" dataDxfId="246"/>
    <tableColumn id="26" xr3:uid="{00000000-0010-0000-0200-00001A000000}" name="2049" dataDxfId="245"/>
    <tableColumn id="27" xr3:uid="{00000000-0010-0000-0200-00001B000000}" name="2050" dataDxfId="244"/>
    <tableColumn id="28" xr3:uid="{00000000-0010-0000-0200-00001C000000}" name="2051" dataDxfId="243"/>
    <tableColumn id="29" xr3:uid="{00000000-0010-0000-0200-00001D000000}" name="2052" dataDxfId="242"/>
    <tableColumn id="30" xr3:uid="{00000000-0010-0000-0200-00001E000000}" name="2053" dataDxfId="241"/>
    <tableColumn id="31" xr3:uid="{00000000-0010-0000-0200-00001F000000}" name="2054" dataDxfId="240"/>
    <tableColumn id="32" xr3:uid="{00000000-0010-0000-0200-000020000000}" name="2055" dataDxfId="239"/>
    <tableColumn id="33" xr3:uid="{00000000-0010-0000-0200-000021000000}" name="2056" dataDxfId="238"/>
    <tableColumn id="34" xr3:uid="{00000000-0010-0000-0200-000022000000}" name="2057" dataDxfId="237"/>
    <tableColumn id="35" xr3:uid="{00000000-0010-0000-0200-000023000000}" name="2058" dataDxfId="236"/>
    <tableColumn id="36" xr3:uid="{00000000-0010-0000-0200-000024000000}" name="2059" dataDxfId="235"/>
    <tableColumn id="37" xr3:uid="{00000000-0010-0000-0200-000025000000}" name="2060" dataDxfId="2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2" displayName="Table12" ref="A74:AK78" totalsRowShown="0" headerRowDxfId="233" dataDxfId="232">
  <autoFilter ref="A74:AK78" xr:uid="{00000000-0009-0000-0100-000004000000}"/>
  <tableColumns count="37">
    <tableColumn id="1" xr3:uid="{00000000-0010-0000-0300-000001000000}" name="IIe: Cedole cumulate BRDP (€mld reali €2027)" dataDxfId="231"/>
    <tableColumn id="2" xr3:uid="{00000000-0010-0000-0300-000002000000}" name="r_BRDP_r" dataDxfId="230"/>
    <tableColumn id="3" xr3:uid="{00000000-0010-0000-0300-000003000000}" name="rf_r" dataDxfId="229"/>
    <tableColumn id="4" xr3:uid="{00000000-0010-0000-0300-000004000000}" name="2027" dataDxfId="228"/>
    <tableColumn id="5" xr3:uid="{00000000-0010-0000-0300-000005000000}" name="2028" dataDxfId="227"/>
    <tableColumn id="6" xr3:uid="{00000000-0010-0000-0300-000006000000}" name="2029" dataDxfId="226"/>
    <tableColumn id="7" xr3:uid="{00000000-0010-0000-0300-000007000000}" name="2030" dataDxfId="225"/>
    <tableColumn id="8" xr3:uid="{00000000-0010-0000-0300-000008000000}" name="2031" dataDxfId="224"/>
    <tableColumn id="9" xr3:uid="{00000000-0010-0000-0300-000009000000}" name="2032" dataDxfId="223"/>
    <tableColumn id="10" xr3:uid="{00000000-0010-0000-0300-00000A000000}" name="2033" dataDxfId="222"/>
    <tableColumn id="11" xr3:uid="{00000000-0010-0000-0300-00000B000000}" name="2034" dataDxfId="221"/>
    <tableColumn id="12" xr3:uid="{00000000-0010-0000-0300-00000C000000}" name="2035" dataDxfId="220"/>
    <tableColumn id="13" xr3:uid="{00000000-0010-0000-0300-00000D000000}" name="2036" dataDxfId="219"/>
    <tableColumn id="14" xr3:uid="{00000000-0010-0000-0300-00000E000000}" name="2037" dataDxfId="218"/>
    <tableColumn id="15" xr3:uid="{00000000-0010-0000-0300-00000F000000}" name="2038" dataDxfId="217"/>
    <tableColumn id="16" xr3:uid="{00000000-0010-0000-0300-000010000000}" name="2039" dataDxfId="216"/>
    <tableColumn id="17" xr3:uid="{00000000-0010-0000-0300-000011000000}" name="2040" dataDxfId="215"/>
    <tableColumn id="18" xr3:uid="{00000000-0010-0000-0300-000012000000}" name="2041" dataDxfId="214"/>
    <tableColumn id="19" xr3:uid="{00000000-0010-0000-0300-000013000000}" name="2042" dataDxfId="213"/>
    <tableColumn id="20" xr3:uid="{00000000-0010-0000-0300-000014000000}" name="2043" dataDxfId="212"/>
    <tableColumn id="21" xr3:uid="{00000000-0010-0000-0300-000015000000}" name="2044" dataDxfId="211"/>
    <tableColumn id="22" xr3:uid="{00000000-0010-0000-0300-000016000000}" name="2045" dataDxfId="210"/>
    <tableColumn id="23" xr3:uid="{00000000-0010-0000-0300-000017000000}" name="2046" dataDxfId="209"/>
    <tableColumn id="24" xr3:uid="{00000000-0010-0000-0300-000018000000}" name="2047" dataDxfId="208"/>
    <tableColumn id="25" xr3:uid="{00000000-0010-0000-0300-000019000000}" name="2048" dataDxfId="207"/>
    <tableColumn id="26" xr3:uid="{00000000-0010-0000-0300-00001A000000}" name="2049" dataDxfId="206"/>
    <tableColumn id="27" xr3:uid="{00000000-0010-0000-0300-00001B000000}" name="2050" dataDxfId="205"/>
    <tableColumn id="28" xr3:uid="{00000000-0010-0000-0300-00001C000000}" name="2051" dataDxfId="204"/>
    <tableColumn id="29" xr3:uid="{00000000-0010-0000-0300-00001D000000}" name="2052" dataDxfId="203"/>
    <tableColumn id="30" xr3:uid="{00000000-0010-0000-0300-00001E000000}" name="2053" dataDxfId="202"/>
    <tableColumn id="31" xr3:uid="{00000000-0010-0000-0300-00001F000000}" name="2054" dataDxfId="201"/>
    <tableColumn id="32" xr3:uid="{00000000-0010-0000-0300-000020000000}" name="2055" dataDxfId="200"/>
    <tableColumn id="33" xr3:uid="{00000000-0010-0000-0300-000021000000}" name="2056" dataDxfId="199"/>
    <tableColumn id="34" xr3:uid="{00000000-0010-0000-0300-000022000000}" name="2057" dataDxfId="198"/>
    <tableColumn id="35" xr3:uid="{00000000-0010-0000-0300-000023000000}" name="2058" dataDxfId="197"/>
    <tableColumn id="36" xr3:uid="{00000000-0010-0000-0300-000024000000}" name="2059" dataDxfId="196"/>
    <tableColumn id="37" xr3:uid="{00000000-0010-0000-0300-000025000000}" name="2060" dataDxfId="19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4:AK6" totalsRowShown="0" headerRowDxfId="194" dataDxfId="193">
  <autoFilter ref="A4:AK6" xr:uid="{00000000-0009-0000-0100-000005000000}"/>
  <tableColumns count="37">
    <tableColumn id="1" xr3:uid="{00000000-0010-0000-0400-000001000000}" name="Scenario" dataDxfId="192"/>
    <tableColumn id="2" xr3:uid="{00000000-0010-0000-0400-000002000000}" name="r_BRDP_r" dataDxfId="191"/>
    <tableColumn id="3" xr3:uid="{00000000-0010-0000-0400-000003000000}" name="rf_r" dataDxfId="190"/>
    <tableColumn id="4" xr3:uid="{00000000-0010-0000-0400-000004000000}" name="2027" dataDxfId="189"/>
    <tableColumn id="5" xr3:uid="{00000000-0010-0000-0400-000005000000}" name="2028" dataDxfId="188"/>
    <tableColumn id="6" xr3:uid="{00000000-0010-0000-0400-000006000000}" name="2029" dataDxfId="187"/>
    <tableColumn id="7" xr3:uid="{00000000-0010-0000-0400-000007000000}" name="2030" dataDxfId="186"/>
    <tableColumn id="8" xr3:uid="{00000000-0010-0000-0400-000008000000}" name="2031" dataDxfId="185"/>
    <tableColumn id="9" xr3:uid="{00000000-0010-0000-0400-000009000000}" name="2032" dataDxfId="184"/>
    <tableColumn id="10" xr3:uid="{00000000-0010-0000-0400-00000A000000}" name="2033" dataDxfId="183"/>
    <tableColumn id="11" xr3:uid="{00000000-0010-0000-0400-00000B000000}" name="2034" dataDxfId="182"/>
    <tableColumn id="12" xr3:uid="{00000000-0010-0000-0400-00000C000000}" name="2035" dataDxfId="181"/>
    <tableColumn id="13" xr3:uid="{00000000-0010-0000-0400-00000D000000}" name="2036" dataDxfId="180"/>
    <tableColumn id="14" xr3:uid="{00000000-0010-0000-0400-00000E000000}" name="2037" dataDxfId="179"/>
    <tableColumn id="15" xr3:uid="{00000000-0010-0000-0400-00000F000000}" name="2038" dataDxfId="178"/>
    <tableColumn id="16" xr3:uid="{00000000-0010-0000-0400-000010000000}" name="2039" dataDxfId="177"/>
    <tableColumn id="17" xr3:uid="{00000000-0010-0000-0400-000011000000}" name="2040" dataDxfId="176"/>
    <tableColumn id="18" xr3:uid="{00000000-0010-0000-0400-000012000000}" name="2041" dataDxfId="175"/>
    <tableColumn id="19" xr3:uid="{00000000-0010-0000-0400-000013000000}" name="2042" dataDxfId="174"/>
    <tableColumn id="20" xr3:uid="{00000000-0010-0000-0400-000014000000}" name="2043" dataDxfId="173"/>
    <tableColumn id="21" xr3:uid="{00000000-0010-0000-0400-000015000000}" name="2044" dataDxfId="172"/>
    <tableColumn id="22" xr3:uid="{00000000-0010-0000-0400-000016000000}" name="2045" dataDxfId="171"/>
    <tableColumn id="23" xr3:uid="{00000000-0010-0000-0400-000017000000}" name="2046" dataDxfId="170"/>
    <tableColumn id="24" xr3:uid="{00000000-0010-0000-0400-000018000000}" name="2047" dataDxfId="169"/>
    <tableColumn id="25" xr3:uid="{00000000-0010-0000-0400-000019000000}" name="2048" dataDxfId="168"/>
    <tableColumn id="26" xr3:uid="{00000000-0010-0000-0400-00001A000000}" name="2049" dataDxfId="167"/>
    <tableColumn id="27" xr3:uid="{00000000-0010-0000-0400-00001B000000}" name="2050" dataDxfId="166"/>
    <tableColumn id="28" xr3:uid="{00000000-0010-0000-0400-00001C000000}" name="2051" dataDxfId="165"/>
    <tableColumn id="29" xr3:uid="{00000000-0010-0000-0400-00001D000000}" name="2052" dataDxfId="164"/>
    <tableColumn id="30" xr3:uid="{00000000-0010-0000-0400-00001E000000}" name="2053" dataDxfId="163"/>
    <tableColumn id="31" xr3:uid="{00000000-0010-0000-0400-00001F000000}" name="2054" dataDxfId="162"/>
    <tableColumn id="32" xr3:uid="{00000000-0010-0000-0400-000020000000}" name="2055" dataDxfId="161"/>
    <tableColumn id="33" xr3:uid="{00000000-0010-0000-0400-000021000000}" name="2056" dataDxfId="160"/>
    <tableColumn id="34" xr3:uid="{00000000-0010-0000-0400-000022000000}" name="2057" dataDxfId="159"/>
    <tableColumn id="35" xr3:uid="{00000000-0010-0000-0400-000023000000}" name="2058" dataDxfId="158"/>
    <tableColumn id="36" xr3:uid="{00000000-0010-0000-0400-000024000000}" name="2059" dataDxfId="157"/>
    <tableColumn id="37" xr3:uid="{00000000-0010-0000-0400-000025000000}" name="2060" dataDxfId="15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A28:AK29" totalsRowShown="0" headerRowDxfId="155" dataDxfId="154">
  <autoFilter ref="A28:AK29" xr:uid="{00000000-0009-0000-0100-000006000000}"/>
  <tableColumns count="37">
    <tableColumn id="1" xr3:uid="{00000000-0010-0000-0500-000001000000}" name="Ib: Stock BRDP in circolazione (€mld reali €2027)" dataDxfId="153"/>
    <tableColumn id="2" xr3:uid="{00000000-0010-0000-0500-000002000000}" name="r_BRDP_r" dataDxfId="152"/>
    <tableColumn id="3" xr3:uid="{00000000-0010-0000-0500-000003000000}" name="rf_r" dataDxfId="151"/>
    <tableColumn id="4" xr3:uid="{00000000-0010-0000-0500-000004000000}" name="2027" dataDxfId="150"/>
    <tableColumn id="5" xr3:uid="{00000000-0010-0000-0500-000005000000}" name="2028" dataDxfId="149"/>
    <tableColumn id="6" xr3:uid="{00000000-0010-0000-0500-000006000000}" name="2029" dataDxfId="148"/>
    <tableColumn id="7" xr3:uid="{00000000-0010-0000-0500-000007000000}" name="2030" dataDxfId="147"/>
    <tableColumn id="8" xr3:uid="{00000000-0010-0000-0500-000008000000}" name="2031" dataDxfId="146"/>
    <tableColumn id="9" xr3:uid="{00000000-0010-0000-0500-000009000000}" name="2032" dataDxfId="145"/>
    <tableColumn id="10" xr3:uid="{00000000-0010-0000-0500-00000A000000}" name="2033" dataDxfId="144"/>
    <tableColumn id="11" xr3:uid="{00000000-0010-0000-0500-00000B000000}" name="2034" dataDxfId="143"/>
    <tableColumn id="12" xr3:uid="{00000000-0010-0000-0500-00000C000000}" name="2035" dataDxfId="142"/>
    <tableColumn id="13" xr3:uid="{00000000-0010-0000-0500-00000D000000}" name="2036" dataDxfId="141"/>
    <tableColumn id="14" xr3:uid="{00000000-0010-0000-0500-00000E000000}" name="2037" dataDxfId="140"/>
    <tableColumn id="15" xr3:uid="{00000000-0010-0000-0500-00000F000000}" name="2038" dataDxfId="139"/>
    <tableColumn id="16" xr3:uid="{00000000-0010-0000-0500-000010000000}" name="2039" dataDxfId="138"/>
    <tableColumn id="17" xr3:uid="{00000000-0010-0000-0500-000011000000}" name="2040" dataDxfId="137"/>
    <tableColumn id="18" xr3:uid="{00000000-0010-0000-0500-000012000000}" name="2041" dataDxfId="136"/>
    <tableColumn id="19" xr3:uid="{00000000-0010-0000-0500-000013000000}" name="2042" dataDxfId="135"/>
    <tableColumn id="20" xr3:uid="{00000000-0010-0000-0500-000014000000}" name="2043" dataDxfId="134"/>
    <tableColumn id="21" xr3:uid="{00000000-0010-0000-0500-000015000000}" name="2044" dataDxfId="133"/>
    <tableColumn id="22" xr3:uid="{00000000-0010-0000-0500-000016000000}" name="2045" dataDxfId="132"/>
    <tableColumn id="23" xr3:uid="{00000000-0010-0000-0500-000017000000}" name="2046" dataDxfId="131"/>
    <tableColumn id="24" xr3:uid="{00000000-0010-0000-0500-000018000000}" name="2047" dataDxfId="130"/>
    <tableColumn id="25" xr3:uid="{00000000-0010-0000-0500-000019000000}" name="2048" dataDxfId="129"/>
    <tableColumn id="26" xr3:uid="{00000000-0010-0000-0500-00001A000000}" name="2049" dataDxfId="128"/>
    <tableColumn id="27" xr3:uid="{00000000-0010-0000-0500-00001B000000}" name="2050" dataDxfId="127"/>
    <tableColumn id="28" xr3:uid="{00000000-0010-0000-0500-00001C000000}" name="2051" dataDxfId="126"/>
    <tableColumn id="29" xr3:uid="{00000000-0010-0000-0500-00001D000000}" name="2052" dataDxfId="125"/>
    <tableColumn id="30" xr3:uid="{00000000-0010-0000-0500-00001E000000}" name="2053" dataDxfId="124"/>
    <tableColumn id="31" xr3:uid="{00000000-0010-0000-0500-00001F000000}" name="2054" dataDxfId="123"/>
    <tableColumn id="32" xr3:uid="{00000000-0010-0000-0500-000020000000}" name="2055" dataDxfId="122"/>
    <tableColumn id="33" xr3:uid="{00000000-0010-0000-0500-000021000000}" name="2056" dataDxfId="121"/>
    <tableColumn id="34" xr3:uid="{00000000-0010-0000-0500-000022000000}" name="2057" dataDxfId="120"/>
    <tableColumn id="35" xr3:uid="{00000000-0010-0000-0500-000023000000}" name="2058" dataDxfId="119"/>
    <tableColumn id="36" xr3:uid="{00000000-0010-0000-0500-000024000000}" name="2059" dataDxfId="118"/>
    <tableColumn id="37" xr3:uid="{00000000-0010-0000-0500-000025000000}" name="2060" dataDxfId="11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32:AK48" totalsRowShown="0" headerRowDxfId="116" dataDxfId="115">
  <autoFilter ref="A32:AK48" xr:uid="{00000000-0009-0000-0100-000007000000}"/>
  <tableColumns count="37">
    <tableColumn id="1" xr3:uid="{00000000-0010-0000-0600-000001000000}" name="Ic: Portafoglio totale P2 = Ia + Ib (€mld reali €2027)" dataDxfId="114"/>
    <tableColumn id="2" xr3:uid="{00000000-0010-0000-0600-000002000000}" name="r_BRDP_r" dataDxfId="113"/>
    <tableColumn id="3" xr3:uid="{00000000-0010-0000-0600-000003000000}" name="rf_r" dataDxfId="112"/>
    <tableColumn id="4" xr3:uid="{00000000-0010-0000-0600-000004000000}" name="2027" dataDxfId="111"/>
    <tableColumn id="5" xr3:uid="{00000000-0010-0000-0600-000005000000}" name="2028" dataDxfId="110"/>
    <tableColumn id="6" xr3:uid="{00000000-0010-0000-0600-000006000000}" name="2029" dataDxfId="109"/>
    <tableColumn id="7" xr3:uid="{00000000-0010-0000-0600-000007000000}" name="2030" dataDxfId="108"/>
    <tableColumn id="8" xr3:uid="{00000000-0010-0000-0600-000008000000}" name="2031" dataDxfId="107"/>
    <tableColumn id="9" xr3:uid="{00000000-0010-0000-0600-000009000000}" name="2032" dataDxfId="106"/>
    <tableColumn id="10" xr3:uid="{00000000-0010-0000-0600-00000A000000}" name="2033" dataDxfId="105"/>
    <tableColumn id="11" xr3:uid="{00000000-0010-0000-0600-00000B000000}" name="2034" dataDxfId="104"/>
    <tableColumn id="12" xr3:uid="{00000000-0010-0000-0600-00000C000000}" name="2035" dataDxfId="103"/>
    <tableColumn id="13" xr3:uid="{00000000-0010-0000-0600-00000D000000}" name="2036" dataDxfId="102"/>
    <tableColumn id="14" xr3:uid="{00000000-0010-0000-0600-00000E000000}" name="2037" dataDxfId="101"/>
    <tableColumn id="15" xr3:uid="{00000000-0010-0000-0600-00000F000000}" name="2038" dataDxfId="100"/>
    <tableColumn id="16" xr3:uid="{00000000-0010-0000-0600-000010000000}" name="2039" dataDxfId="99"/>
    <tableColumn id="17" xr3:uid="{00000000-0010-0000-0600-000011000000}" name="2040" dataDxfId="98"/>
    <tableColumn id="18" xr3:uid="{00000000-0010-0000-0600-000012000000}" name="2041" dataDxfId="97"/>
    <tableColumn id="19" xr3:uid="{00000000-0010-0000-0600-000013000000}" name="2042" dataDxfId="96"/>
    <tableColumn id="20" xr3:uid="{00000000-0010-0000-0600-000014000000}" name="2043" dataDxfId="95"/>
    <tableColumn id="21" xr3:uid="{00000000-0010-0000-0600-000015000000}" name="2044" dataDxfId="94"/>
    <tableColumn id="22" xr3:uid="{00000000-0010-0000-0600-000016000000}" name="2045" dataDxfId="93"/>
    <tableColumn id="23" xr3:uid="{00000000-0010-0000-0600-000017000000}" name="2046" dataDxfId="92"/>
    <tableColumn id="24" xr3:uid="{00000000-0010-0000-0600-000018000000}" name="2047" dataDxfId="91"/>
    <tableColumn id="25" xr3:uid="{00000000-0010-0000-0600-000019000000}" name="2048" dataDxfId="90"/>
    <tableColumn id="26" xr3:uid="{00000000-0010-0000-0600-00001A000000}" name="2049" dataDxfId="89"/>
    <tableColumn id="27" xr3:uid="{00000000-0010-0000-0600-00001B000000}" name="2050" dataDxfId="88"/>
    <tableColumn id="28" xr3:uid="{00000000-0010-0000-0600-00001C000000}" name="2051" dataDxfId="87"/>
    <tableColumn id="29" xr3:uid="{00000000-0010-0000-0600-00001D000000}" name="2052" dataDxfId="86"/>
    <tableColumn id="30" xr3:uid="{00000000-0010-0000-0600-00001E000000}" name="2053" dataDxfId="85"/>
    <tableColumn id="31" xr3:uid="{00000000-0010-0000-0600-00001F000000}" name="2054" dataDxfId="84"/>
    <tableColumn id="32" xr3:uid="{00000000-0010-0000-0600-000020000000}" name="2055" dataDxfId="83"/>
    <tableColumn id="33" xr3:uid="{00000000-0010-0000-0600-000021000000}" name="2056" dataDxfId="82"/>
    <tableColumn id="34" xr3:uid="{00000000-0010-0000-0600-000022000000}" name="2057" dataDxfId="81"/>
    <tableColumn id="35" xr3:uid="{00000000-0010-0000-0600-000023000000}" name="2058" dataDxfId="80"/>
    <tableColumn id="36" xr3:uid="{00000000-0010-0000-0600-000024000000}" name="2059" dataDxfId="79"/>
    <tableColumn id="37" xr3:uid="{00000000-0010-0000-0600-000025000000}" name="2060" dataDxfId="7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52:AK53" totalsRowShown="0" headerRowDxfId="77" dataDxfId="76">
  <autoFilter ref="A52:AK53" xr:uid="{00000000-0009-0000-0100-000008000000}"/>
  <tableColumns count="37">
    <tableColumn id="1" xr3:uid="{00000000-0010-0000-0700-000001000000}" name="SEZIONE II — Flussi BRDP (€mld reali €2027)" dataDxfId="75"/>
    <tableColumn id="2" xr3:uid="{00000000-0010-0000-0700-000002000000}" name="r_BRDP_r" dataDxfId="74"/>
    <tableColumn id="3" xr3:uid="{00000000-0010-0000-0700-000003000000}" name="rf_r" dataDxfId="73"/>
    <tableColumn id="4" xr3:uid="{00000000-0010-0000-0700-000004000000}" name="2027" dataDxfId="72"/>
    <tableColumn id="5" xr3:uid="{00000000-0010-0000-0700-000005000000}" name="2028" dataDxfId="71"/>
    <tableColumn id="6" xr3:uid="{00000000-0010-0000-0700-000006000000}" name="2029" dataDxfId="70"/>
    <tableColumn id="7" xr3:uid="{00000000-0010-0000-0700-000007000000}" name="2030" dataDxfId="69"/>
    <tableColumn id="8" xr3:uid="{00000000-0010-0000-0700-000008000000}" name="2031" dataDxfId="68"/>
    <tableColumn id="9" xr3:uid="{00000000-0010-0000-0700-000009000000}" name="2032" dataDxfId="67"/>
    <tableColumn id="10" xr3:uid="{00000000-0010-0000-0700-00000A000000}" name="2033" dataDxfId="66"/>
    <tableColumn id="11" xr3:uid="{00000000-0010-0000-0700-00000B000000}" name="2034" dataDxfId="65"/>
    <tableColumn id="12" xr3:uid="{00000000-0010-0000-0700-00000C000000}" name="2035" dataDxfId="64"/>
    <tableColumn id="13" xr3:uid="{00000000-0010-0000-0700-00000D000000}" name="2036" dataDxfId="63"/>
    <tableColumn id="14" xr3:uid="{00000000-0010-0000-0700-00000E000000}" name="2037" dataDxfId="62"/>
    <tableColumn id="15" xr3:uid="{00000000-0010-0000-0700-00000F000000}" name="2038" dataDxfId="61"/>
    <tableColumn id="16" xr3:uid="{00000000-0010-0000-0700-000010000000}" name="2039" dataDxfId="60"/>
    <tableColumn id="17" xr3:uid="{00000000-0010-0000-0700-000011000000}" name="2040" dataDxfId="59"/>
    <tableColumn id="18" xr3:uid="{00000000-0010-0000-0700-000012000000}" name="2041" dataDxfId="58"/>
    <tableColumn id="19" xr3:uid="{00000000-0010-0000-0700-000013000000}" name="2042" dataDxfId="57"/>
    <tableColumn id="20" xr3:uid="{00000000-0010-0000-0700-000014000000}" name="2043" dataDxfId="56"/>
    <tableColumn id="21" xr3:uid="{00000000-0010-0000-0700-000015000000}" name="2044" dataDxfId="55"/>
    <tableColumn id="22" xr3:uid="{00000000-0010-0000-0700-000016000000}" name="2045" dataDxfId="54"/>
    <tableColumn id="23" xr3:uid="{00000000-0010-0000-0700-000017000000}" name="2046" dataDxfId="53"/>
    <tableColumn id="24" xr3:uid="{00000000-0010-0000-0700-000018000000}" name="2047" dataDxfId="52"/>
    <tableColumn id="25" xr3:uid="{00000000-0010-0000-0700-000019000000}" name="2048" dataDxfId="51"/>
    <tableColumn id="26" xr3:uid="{00000000-0010-0000-0700-00001A000000}" name="2049" dataDxfId="50"/>
    <tableColumn id="27" xr3:uid="{00000000-0010-0000-0700-00001B000000}" name="2050" dataDxfId="49"/>
    <tableColumn id="28" xr3:uid="{00000000-0010-0000-0700-00001C000000}" name="2051" dataDxfId="48"/>
    <tableColumn id="29" xr3:uid="{00000000-0010-0000-0700-00001D000000}" name="2052" dataDxfId="47"/>
    <tableColumn id="30" xr3:uid="{00000000-0010-0000-0700-00001E000000}" name="2053" dataDxfId="46"/>
    <tableColumn id="31" xr3:uid="{00000000-0010-0000-0700-00001F000000}" name="2054" dataDxfId="45"/>
    <tableColumn id="32" xr3:uid="{00000000-0010-0000-0700-000020000000}" name="2055" dataDxfId="44"/>
    <tableColumn id="33" xr3:uid="{00000000-0010-0000-0700-000021000000}" name="2056" dataDxfId="43"/>
    <tableColumn id="34" xr3:uid="{00000000-0010-0000-0700-000022000000}" name="2057" dataDxfId="42"/>
    <tableColumn id="35" xr3:uid="{00000000-0010-0000-0700-000023000000}" name="2058" dataDxfId="41"/>
    <tableColumn id="36" xr3:uid="{00000000-0010-0000-0700-000024000000}" name="2059" dataDxfId="40"/>
    <tableColumn id="37" xr3:uid="{00000000-0010-0000-0700-000025000000}" name="2060" dataDxfId="3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56:AK60" totalsRowShown="0" headerRowDxfId="38" dataDxfId="37">
  <autoFilter ref="A56:AK60" xr:uid="{00000000-0009-0000-0100-000009000000}"/>
  <tableColumns count="37">
    <tableColumn id="1" xr3:uid="{00000000-0010-0000-0800-000001000000}" name="IIb: Cedole BRDP ai fondi P2 = stock INTERNO(t-1) × r_BRDP_r (€mld reali €2027)" dataDxfId="36"/>
    <tableColumn id="2" xr3:uid="{00000000-0010-0000-0800-000002000000}" name="r_BRDP_r" dataDxfId="35"/>
    <tableColumn id="3" xr3:uid="{00000000-0010-0000-0800-000003000000}" name="rf_r" dataDxfId="34"/>
    <tableColumn id="4" xr3:uid="{00000000-0010-0000-0800-000004000000}" name="2027" dataDxfId="33"/>
    <tableColumn id="5" xr3:uid="{00000000-0010-0000-0800-000005000000}" name="2028" dataDxfId="32"/>
    <tableColumn id="6" xr3:uid="{00000000-0010-0000-0800-000006000000}" name="2029" dataDxfId="31"/>
    <tableColumn id="7" xr3:uid="{00000000-0010-0000-0800-000007000000}" name="2030" dataDxfId="30"/>
    <tableColumn id="8" xr3:uid="{00000000-0010-0000-0800-000008000000}" name="2031" dataDxfId="29"/>
    <tableColumn id="9" xr3:uid="{00000000-0010-0000-0800-000009000000}" name="2032" dataDxfId="28"/>
    <tableColumn id="10" xr3:uid="{00000000-0010-0000-0800-00000A000000}" name="2033" dataDxfId="27"/>
    <tableColumn id="11" xr3:uid="{00000000-0010-0000-0800-00000B000000}" name="2034" dataDxfId="26"/>
    <tableColumn id="12" xr3:uid="{00000000-0010-0000-0800-00000C000000}" name="2035" dataDxfId="25"/>
    <tableColumn id="13" xr3:uid="{00000000-0010-0000-0800-00000D000000}" name="2036" dataDxfId="24"/>
    <tableColumn id="14" xr3:uid="{00000000-0010-0000-0800-00000E000000}" name="2037" dataDxfId="23"/>
    <tableColumn id="15" xr3:uid="{00000000-0010-0000-0800-00000F000000}" name="2038" dataDxfId="22"/>
    <tableColumn id="16" xr3:uid="{00000000-0010-0000-0800-000010000000}" name="2039" dataDxfId="21"/>
    <tableColumn id="17" xr3:uid="{00000000-0010-0000-0800-000011000000}" name="2040" dataDxfId="20"/>
    <tableColumn id="18" xr3:uid="{00000000-0010-0000-0800-000012000000}" name="2041" dataDxfId="19"/>
    <tableColumn id="19" xr3:uid="{00000000-0010-0000-0800-000013000000}" name="2042" dataDxfId="18"/>
    <tableColumn id="20" xr3:uid="{00000000-0010-0000-0800-000014000000}" name="2043" dataDxfId="17"/>
    <tableColumn id="21" xr3:uid="{00000000-0010-0000-0800-000015000000}" name="2044" dataDxfId="16"/>
    <tableColumn id="22" xr3:uid="{00000000-0010-0000-0800-000016000000}" name="2045" dataDxfId="15"/>
    <tableColumn id="23" xr3:uid="{00000000-0010-0000-0800-000017000000}" name="2046" dataDxfId="14"/>
    <tableColumn id="24" xr3:uid="{00000000-0010-0000-0800-000018000000}" name="2047" dataDxfId="13"/>
    <tableColumn id="25" xr3:uid="{00000000-0010-0000-0800-000019000000}" name="2048" dataDxfId="12"/>
    <tableColumn id="26" xr3:uid="{00000000-0010-0000-0800-00001A000000}" name="2049" dataDxfId="11"/>
    <tableColumn id="27" xr3:uid="{00000000-0010-0000-0800-00001B000000}" name="2050" dataDxfId="10"/>
    <tableColumn id="28" xr3:uid="{00000000-0010-0000-0800-00001C000000}" name="2051" dataDxfId="9"/>
    <tableColumn id="29" xr3:uid="{00000000-0010-0000-0800-00001D000000}" name="2052" dataDxfId="8"/>
    <tableColumn id="30" xr3:uid="{00000000-0010-0000-0800-00001E000000}" name="2053" dataDxfId="7"/>
    <tableColumn id="31" xr3:uid="{00000000-0010-0000-0800-00001F000000}" name="2054" dataDxfId="6"/>
    <tableColumn id="32" xr3:uid="{00000000-0010-0000-0800-000020000000}" name="2055" dataDxfId="5"/>
    <tableColumn id="33" xr3:uid="{00000000-0010-0000-0800-000021000000}" name="2056" dataDxfId="4"/>
    <tableColumn id="34" xr3:uid="{00000000-0010-0000-0800-000022000000}" name="2057" dataDxfId="3"/>
    <tableColumn id="35" xr3:uid="{00000000-0010-0000-0800-000023000000}" name="2058" dataDxfId="2"/>
    <tableColumn id="36" xr3:uid="{00000000-0010-0000-0800-000024000000}" name="2059" dataDxfId="1"/>
    <tableColumn id="37" xr3:uid="{00000000-0010-0000-0800-000025000000}" name="206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opLeftCell="A20" zoomScale="125" zoomScaleNormal="160" workbookViewId="0">
      <selection activeCell="B31" sqref="B31"/>
    </sheetView>
  </sheetViews>
  <sheetFormatPr baseColWidth="10" defaultColWidth="8.83203125" defaultRowHeight="15" x14ac:dyDescent="0.2"/>
  <cols>
    <col min="1" max="1" width="46" customWidth="1"/>
    <col min="2" max="2" width="45" customWidth="1"/>
    <col min="3" max="3" width="14" customWidth="1"/>
    <col min="4" max="4" width="69.5" customWidth="1"/>
    <col min="5" max="5" width="45" customWidth="1"/>
    <col min="6" max="6" width="36.1640625" customWidth="1"/>
  </cols>
  <sheetData>
    <row r="1" spans="1:5" ht="21.75" customHeight="1" x14ac:dyDescent="0.25">
      <c r="A1" s="186" t="s">
        <v>0</v>
      </c>
      <c r="B1" s="183"/>
      <c r="C1" s="183"/>
      <c r="D1" s="183"/>
      <c r="E1" s="183"/>
    </row>
    <row r="2" spans="1:5" ht="15" customHeight="1" x14ac:dyDescent="0.2">
      <c r="A2" s="184" t="s">
        <v>1</v>
      </c>
      <c r="B2" s="183"/>
      <c r="C2" s="183"/>
      <c r="D2" s="183"/>
      <c r="E2" s="183"/>
    </row>
    <row r="4" spans="1:5" ht="1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5" customHeight="1" x14ac:dyDescent="0.2">
      <c r="A5" s="187" t="s">
        <v>7</v>
      </c>
      <c r="B5" s="188"/>
      <c r="C5" s="188"/>
      <c r="D5" s="188"/>
      <c r="E5" s="189"/>
    </row>
    <row r="6" spans="1:5" ht="15.75" customHeight="1" x14ac:dyDescent="0.2">
      <c r="A6" s="2" t="s">
        <v>8</v>
      </c>
      <c r="B6" s="3">
        <v>2027</v>
      </c>
      <c r="C6" s="2" t="s">
        <v>9</v>
      </c>
      <c r="D6" s="2" t="s">
        <v>10</v>
      </c>
      <c r="E6" s="2" t="s">
        <v>11</v>
      </c>
    </row>
    <row r="7" spans="1:5" ht="15.75" customHeight="1" x14ac:dyDescent="0.2">
      <c r="A7" s="2" t="s">
        <v>12</v>
      </c>
      <c r="B7" s="3">
        <v>34</v>
      </c>
      <c r="C7" s="2" t="s">
        <v>13</v>
      </c>
      <c r="D7" s="2" t="s">
        <v>14</v>
      </c>
      <c r="E7" s="2" t="s">
        <v>15</v>
      </c>
    </row>
    <row r="8" spans="1:5" ht="15.75" customHeight="1" x14ac:dyDescent="0.2">
      <c r="A8" s="2" t="s">
        <v>16</v>
      </c>
      <c r="B8" s="4">
        <v>17</v>
      </c>
      <c r="C8" s="2" t="s">
        <v>17</v>
      </c>
      <c r="D8" s="2" t="s">
        <v>18</v>
      </c>
      <c r="E8" s="2" t="s">
        <v>19</v>
      </c>
    </row>
    <row r="9" spans="1:5" ht="15.75" customHeight="1" x14ac:dyDescent="0.2">
      <c r="A9" s="2" t="s">
        <v>20</v>
      </c>
      <c r="B9" s="4">
        <v>22.3</v>
      </c>
      <c r="C9" s="2" t="s">
        <v>17</v>
      </c>
      <c r="D9" s="2" t="s">
        <v>21</v>
      </c>
      <c r="E9" s="2" t="s">
        <v>22</v>
      </c>
    </row>
    <row r="10" spans="1:5" ht="15.75" customHeight="1" x14ac:dyDescent="0.2">
      <c r="A10" s="2" t="s">
        <v>23</v>
      </c>
      <c r="B10" s="4">
        <f>B9/B8</f>
        <v>1.3117647058823529</v>
      </c>
      <c r="C10" s="2" t="s">
        <v>24</v>
      </c>
      <c r="D10" s="2" t="s">
        <v>25</v>
      </c>
      <c r="E10" s="2" t="s">
        <v>26</v>
      </c>
    </row>
    <row r="11" spans="1:5" ht="15.75" customHeight="1" x14ac:dyDescent="0.2">
      <c r="A11" s="2" t="s">
        <v>27</v>
      </c>
      <c r="B11" s="5">
        <v>14</v>
      </c>
      <c r="C11" s="2" t="s">
        <v>17</v>
      </c>
      <c r="D11" s="2" t="s">
        <v>28</v>
      </c>
      <c r="E11" s="2" t="s">
        <v>29</v>
      </c>
    </row>
    <row r="12" spans="1:5" ht="15.75" customHeight="1" x14ac:dyDescent="0.2">
      <c r="A12" s="2" t="s">
        <v>30</v>
      </c>
      <c r="B12" s="5">
        <v>3.5</v>
      </c>
      <c r="C12" s="2" t="s">
        <v>17</v>
      </c>
      <c r="D12" s="2" t="s">
        <v>31</v>
      </c>
      <c r="E12" s="2" t="s">
        <v>32</v>
      </c>
    </row>
    <row r="13" spans="1:5" ht="15.75" customHeight="1" x14ac:dyDescent="0.2">
      <c r="A13" s="2" t="s">
        <v>33</v>
      </c>
      <c r="B13" s="5">
        <v>17.5</v>
      </c>
      <c r="C13" s="2" t="s">
        <v>17</v>
      </c>
      <c r="D13" s="2" t="s">
        <v>34</v>
      </c>
      <c r="E13" s="2" t="s">
        <v>35</v>
      </c>
    </row>
    <row r="14" spans="1:5" ht="30" customHeight="1" x14ac:dyDescent="0.2">
      <c r="A14" s="6" t="s">
        <v>36</v>
      </c>
      <c r="B14" s="7">
        <v>6.0000000000000001E-3</v>
      </c>
      <c r="C14" s="6" t="s">
        <v>37</v>
      </c>
      <c r="D14" s="6" t="s">
        <v>38</v>
      </c>
      <c r="E14" s="6" t="s">
        <v>39</v>
      </c>
    </row>
    <row r="15" spans="1:5" ht="15.75" customHeight="1" x14ac:dyDescent="0.2">
      <c r="A15" s="2" t="s">
        <v>40</v>
      </c>
      <c r="B15" s="8">
        <v>-5.0000000000000001E-3</v>
      </c>
      <c r="C15" s="2" t="s">
        <v>37</v>
      </c>
      <c r="D15" s="2" t="s">
        <v>41</v>
      </c>
      <c r="E15" s="2" t="s">
        <v>42</v>
      </c>
    </row>
    <row r="16" spans="1:5" ht="33" customHeight="1" x14ac:dyDescent="0.2">
      <c r="A16" s="2" t="s">
        <v>43</v>
      </c>
      <c r="B16" s="9">
        <v>176000</v>
      </c>
      <c r="C16" s="2" t="s">
        <v>44</v>
      </c>
      <c r="D16" s="2" t="s">
        <v>45</v>
      </c>
      <c r="E16" s="2" t="s">
        <v>46</v>
      </c>
    </row>
    <row r="17" spans="1:5" ht="15.75" customHeight="1" x14ac:dyDescent="0.2">
      <c r="A17" s="2" t="s">
        <v>47</v>
      </c>
      <c r="B17" s="10">
        <v>0.7</v>
      </c>
      <c r="C17" s="2" t="s">
        <v>48</v>
      </c>
      <c r="D17" s="2" t="s">
        <v>49</v>
      </c>
      <c r="E17" s="2" t="s">
        <v>50</v>
      </c>
    </row>
    <row r="18" spans="1:5" ht="15.75" customHeight="1" x14ac:dyDescent="0.2">
      <c r="A18" s="2" t="s">
        <v>51</v>
      </c>
      <c r="B18" s="11">
        <v>0.11600000000000001</v>
      </c>
      <c r="C18" s="2" t="s">
        <v>52</v>
      </c>
      <c r="D18" s="2" t="s">
        <v>53</v>
      </c>
      <c r="E18" s="2" t="s">
        <v>54</v>
      </c>
    </row>
    <row r="19" spans="1:5" ht="15.75" customHeight="1" x14ac:dyDescent="0.2">
      <c r="A19" s="2" t="s">
        <v>55</v>
      </c>
      <c r="B19" s="9">
        <v>2237</v>
      </c>
      <c r="C19" s="2" t="s">
        <v>56</v>
      </c>
      <c r="D19" s="2" t="s">
        <v>57</v>
      </c>
      <c r="E19" s="2" t="s">
        <v>58</v>
      </c>
    </row>
    <row r="20" spans="1:5" ht="31.5" customHeight="1" x14ac:dyDescent="0.2">
      <c r="A20" s="6" t="s">
        <v>59</v>
      </c>
      <c r="B20" s="7">
        <v>8.0000000000000002E-3</v>
      </c>
      <c r="C20" s="6" t="s">
        <v>37</v>
      </c>
      <c r="D20" s="6" t="s">
        <v>60</v>
      </c>
      <c r="E20" s="6" t="s">
        <v>61</v>
      </c>
    </row>
    <row r="21" spans="1:5" ht="28.5" customHeight="1" x14ac:dyDescent="0.2">
      <c r="A21" s="2" t="s">
        <v>62</v>
      </c>
      <c r="B21" s="3">
        <v>26700</v>
      </c>
      <c r="C21" s="2" t="s">
        <v>63</v>
      </c>
      <c r="D21" s="2" t="s">
        <v>64</v>
      </c>
      <c r="E21" s="2" t="s">
        <v>65</v>
      </c>
    </row>
    <row r="22" spans="1:5" ht="31.5" customHeight="1" x14ac:dyDescent="0.2">
      <c r="A22" s="2" t="s">
        <v>66</v>
      </c>
      <c r="B22" s="8">
        <v>2E-3</v>
      </c>
      <c r="C22" s="2" t="s">
        <v>37</v>
      </c>
      <c r="D22" s="2" t="s">
        <v>67</v>
      </c>
      <c r="E22" s="2" t="s">
        <v>68</v>
      </c>
    </row>
    <row r="24" spans="1:5" ht="15" customHeight="1" x14ac:dyDescent="0.2">
      <c r="A24" s="187" t="s">
        <v>69</v>
      </c>
      <c r="B24" s="188"/>
      <c r="C24" s="188"/>
      <c r="D24" s="188"/>
      <c r="E24" s="189"/>
    </row>
    <row r="25" spans="1:5" ht="15.75" customHeight="1" x14ac:dyDescent="0.2">
      <c r="A25" s="2" t="s">
        <v>70</v>
      </c>
      <c r="B25" s="8">
        <v>0.33</v>
      </c>
      <c r="C25" s="2" t="s">
        <v>48</v>
      </c>
      <c r="D25" s="2" t="s">
        <v>71</v>
      </c>
      <c r="E25" s="2" t="s">
        <v>72</v>
      </c>
    </row>
    <row r="26" spans="1:5" ht="31.5" customHeight="1" x14ac:dyDescent="0.2">
      <c r="A26" s="2" t="s">
        <v>73</v>
      </c>
      <c r="B26" s="3">
        <v>1218</v>
      </c>
      <c r="C26" s="2" t="s">
        <v>74</v>
      </c>
      <c r="D26" s="2" t="s">
        <v>75</v>
      </c>
      <c r="E26" s="2" t="s">
        <v>76</v>
      </c>
    </row>
    <row r="27" spans="1:5" ht="15.75" customHeight="1" x14ac:dyDescent="0.2">
      <c r="A27" s="2" t="s">
        <v>77</v>
      </c>
      <c r="B27" s="3">
        <v>1718</v>
      </c>
      <c r="C27" s="2" t="s">
        <v>74</v>
      </c>
      <c r="D27" s="2" t="s">
        <v>78</v>
      </c>
      <c r="E27" s="2" t="s">
        <v>79</v>
      </c>
    </row>
    <row r="28" spans="1:5" ht="15.75" customHeight="1" x14ac:dyDescent="0.2">
      <c r="A28" s="2" t="s">
        <v>80</v>
      </c>
      <c r="B28" s="3">
        <v>13</v>
      </c>
      <c r="C28" s="2" t="s">
        <v>24</v>
      </c>
      <c r="D28" s="2" t="s">
        <v>81</v>
      </c>
      <c r="E28" s="2" t="s">
        <v>82</v>
      </c>
    </row>
    <row r="29" spans="1:5" ht="15.75" customHeight="1" x14ac:dyDescent="0.2">
      <c r="A29" s="2" t="s">
        <v>83</v>
      </c>
      <c r="B29" s="3">
        <v>67</v>
      </c>
      <c r="C29" s="2" t="s">
        <v>13</v>
      </c>
      <c r="D29" s="2" t="s">
        <v>84</v>
      </c>
      <c r="E29" s="2" t="s">
        <v>85</v>
      </c>
    </row>
    <row r="30" spans="1:5" ht="15.75" customHeight="1" x14ac:dyDescent="0.2">
      <c r="A30" s="2" t="s">
        <v>86</v>
      </c>
      <c r="B30" s="5">
        <v>64.8</v>
      </c>
      <c r="C30" s="2" t="s">
        <v>13</v>
      </c>
      <c r="D30" s="2" t="s">
        <v>87</v>
      </c>
      <c r="E30" s="2" t="s">
        <v>88</v>
      </c>
    </row>
    <row r="31" spans="1:5" ht="19.5" customHeight="1" x14ac:dyDescent="0.2">
      <c r="A31" s="2" t="s">
        <v>89</v>
      </c>
      <c r="B31" s="12">
        <v>5.6079999999999998E-2</v>
      </c>
      <c r="C31" s="2" t="s">
        <v>48</v>
      </c>
      <c r="D31" s="2" t="s">
        <v>90</v>
      </c>
      <c r="E31" s="2" t="s">
        <v>91</v>
      </c>
    </row>
    <row r="32" spans="1:5" ht="27.75" customHeight="1" x14ac:dyDescent="0.2">
      <c r="A32" s="2" t="s">
        <v>92</v>
      </c>
      <c r="B32" s="8">
        <v>0.16</v>
      </c>
      <c r="C32" s="2" t="s">
        <v>48</v>
      </c>
      <c r="D32" s="2" t="s">
        <v>93</v>
      </c>
      <c r="E32" s="2" t="s">
        <v>94</v>
      </c>
    </row>
    <row r="33" spans="1:5" ht="27" customHeight="1" x14ac:dyDescent="0.2">
      <c r="A33" s="2" t="s">
        <v>95</v>
      </c>
      <c r="B33" s="8">
        <v>0.17100000000000001</v>
      </c>
      <c r="C33" s="2" t="s">
        <v>48</v>
      </c>
      <c r="D33" s="2" t="s">
        <v>96</v>
      </c>
      <c r="E33" s="2" t="s">
        <v>97</v>
      </c>
    </row>
    <row r="34" spans="1:5" ht="15.75" customHeight="1" x14ac:dyDescent="0.2">
      <c r="A34" s="2" t="s">
        <v>98</v>
      </c>
      <c r="B34" s="8">
        <v>0.14099999999999999</v>
      </c>
      <c r="C34" s="2" t="s">
        <v>48</v>
      </c>
      <c r="D34" s="2" t="s">
        <v>99</v>
      </c>
      <c r="E34" s="2" t="s">
        <v>100</v>
      </c>
    </row>
    <row r="35" spans="1:5" ht="30.75" customHeight="1" x14ac:dyDescent="0.2">
      <c r="A35" s="2" t="s">
        <v>101</v>
      </c>
      <c r="B35" s="3">
        <v>2040</v>
      </c>
      <c r="C35" s="2" t="s">
        <v>9</v>
      </c>
      <c r="D35" s="2" t="s">
        <v>102</v>
      </c>
      <c r="E35" s="2" t="s">
        <v>11</v>
      </c>
    </row>
    <row r="36" spans="1:5" ht="15" customHeight="1" x14ac:dyDescent="0.2">
      <c r="A36" s="119" t="s">
        <v>103</v>
      </c>
      <c r="B36" s="119">
        <v>2060</v>
      </c>
      <c r="C36" s="119" t="s">
        <v>9</v>
      </c>
      <c r="D36" s="119" t="s">
        <v>104</v>
      </c>
      <c r="E36" s="119" t="s">
        <v>105</v>
      </c>
    </row>
    <row r="38" spans="1:5" ht="15" customHeight="1" x14ac:dyDescent="0.2">
      <c r="A38" s="187" t="s">
        <v>106</v>
      </c>
      <c r="B38" s="188"/>
      <c r="C38" s="188"/>
      <c r="D38" s="188"/>
      <c r="E38" s="189"/>
    </row>
    <row r="39" spans="1:5" ht="15.75" customHeight="1" x14ac:dyDescent="0.2">
      <c r="A39" s="2" t="s">
        <v>107</v>
      </c>
      <c r="B39" s="3">
        <v>650</v>
      </c>
      <c r="C39" s="2" t="s">
        <v>74</v>
      </c>
      <c r="D39" s="2" t="s">
        <v>108</v>
      </c>
      <c r="E39" s="2" t="s">
        <v>109</v>
      </c>
    </row>
    <row r="40" spans="1:5" ht="15.75" customHeight="1" x14ac:dyDescent="0.2">
      <c r="A40" s="6" t="s">
        <v>110</v>
      </c>
      <c r="B40" s="7">
        <f>B39/B41</f>
        <v>0.52</v>
      </c>
      <c r="C40" s="6" t="s">
        <v>48</v>
      </c>
      <c r="D40" s="6" t="s">
        <v>111</v>
      </c>
      <c r="E40" s="6" t="s">
        <v>112</v>
      </c>
    </row>
    <row r="41" spans="1:5" ht="15.75" customHeight="1" x14ac:dyDescent="0.2">
      <c r="A41" s="2" t="s">
        <v>113</v>
      </c>
      <c r="B41" s="3">
        <v>1250</v>
      </c>
      <c r="C41" s="2" t="s">
        <v>74</v>
      </c>
      <c r="D41" s="2" t="s">
        <v>114</v>
      </c>
      <c r="E41" s="2" t="s">
        <v>115</v>
      </c>
    </row>
    <row r="42" spans="1:5" ht="15.75" customHeight="1" x14ac:dyDescent="0.2">
      <c r="A42" s="2" t="s">
        <v>116</v>
      </c>
      <c r="B42" s="3">
        <v>50000</v>
      </c>
      <c r="C42" s="2" t="s">
        <v>117</v>
      </c>
      <c r="D42" s="2" t="s">
        <v>118</v>
      </c>
      <c r="E42" s="2" t="s">
        <v>119</v>
      </c>
    </row>
    <row r="43" spans="1:5" ht="15.75" customHeight="1" x14ac:dyDescent="0.2">
      <c r="A43" s="2" t="s">
        <v>120</v>
      </c>
      <c r="B43" s="10">
        <v>4.4999999999999998E-2</v>
      </c>
      <c r="C43" s="2" t="s">
        <v>48</v>
      </c>
      <c r="D43" s="2" t="s">
        <v>121</v>
      </c>
      <c r="E43" s="2" t="s">
        <v>122</v>
      </c>
    </row>
    <row r="44" spans="1:5" ht="15.75" customHeight="1" x14ac:dyDescent="0.2">
      <c r="A44" s="2" t="s">
        <v>123</v>
      </c>
      <c r="B44" s="3">
        <f>MAX(0,B22-B23*(B46*B17*((1+B52)^B53-1)/B51)*B42/12)</f>
        <v>2E-3</v>
      </c>
      <c r="C44" s="2" t="s">
        <v>74</v>
      </c>
      <c r="D44" s="2" t="s">
        <v>124</v>
      </c>
      <c r="E44" s="2" t="s">
        <v>54</v>
      </c>
    </row>
    <row r="45" spans="1:5" ht="15.75" customHeight="1" x14ac:dyDescent="0.2">
      <c r="A45" s="2" t="s">
        <v>125</v>
      </c>
      <c r="B45" s="3">
        <v>35</v>
      </c>
      <c r="C45" s="2" t="s">
        <v>13</v>
      </c>
      <c r="D45" s="2" t="s">
        <v>126</v>
      </c>
      <c r="E45" s="2" t="s">
        <v>127</v>
      </c>
    </row>
    <row r="46" spans="1:5" s="14" customFormat="1" ht="15.75" customHeight="1" x14ac:dyDescent="0.2">
      <c r="A46" s="2" t="s">
        <v>128</v>
      </c>
      <c r="B46" s="9">
        <v>550000</v>
      </c>
      <c r="C46" s="2" t="s">
        <v>44</v>
      </c>
      <c r="D46" s="13" t="s">
        <v>129</v>
      </c>
      <c r="E46" s="2" t="s">
        <v>130</v>
      </c>
    </row>
    <row r="47" spans="1:5" s="14" customFormat="1" ht="15.75" customHeight="1" x14ac:dyDescent="0.2">
      <c r="A47" s="2" t="s">
        <v>128</v>
      </c>
      <c r="B47" s="9">
        <v>600000</v>
      </c>
      <c r="C47" s="2" t="s">
        <v>44</v>
      </c>
      <c r="D47" s="13" t="s">
        <v>131</v>
      </c>
      <c r="E47" s="2" t="s">
        <v>130</v>
      </c>
    </row>
    <row r="48" spans="1:5" s="14" customFormat="1" ht="15.75" customHeight="1" x14ac:dyDescent="0.2">
      <c r="A48" s="2" t="s">
        <v>128</v>
      </c>
      <c r="B48" s="9">
        <v>480000</v>
      </c>
      <c r="C48" s="2" t="s">
        <v>44</v>
      </c>
      <c r="D48" s="13" t="s">
        <v>132</v>
      </c>
      <c r="E48" s="2" t="s">
        <v>130</v>
      </c>
    </row>
    <row r="50" spans="1:5" ht="15" customHeight="1" x14ac:dyDescent="0.2">
      <c r="A50" s="187" t="s">
        <v>133</v>
      </c>
      <c r="B50" s="188"/>
      <c r="C50" s="188"/>
      <c r="D50" s="188"/>
      <c r="E50" s="189"/>
    </row>
    <row r="51" spans="1:5" ht="15.75" customHeight="1" x14ac:dyDescent="0.2">
      <c r="A51" s="6" t="s">
        <v>134</v>
      </c>
      <c r="B51" s="7">
        <v>0.06</v>
      </c>
      <c r="C51" s="6" t="s">
        <v>48</v>
      </c>
      <c r="D51" s="6" t="s">
        <v>135</v>
      </c>
      <c r="E51" s="6" t="s">
        <v>109</v>
      </c>
    </row>
    <row r="52" spans="1:5" ht="15.75" customHeight="1" x14ac:dyDescent="0.2">
      <c r="A52" s="2" t="s">
        <v>136</v>
      </c>
      <c r="B52" s="8">
        <v>0.02</v>
      </c>
      <c r="C52" s="2" t="s">
        <v>48</v>
      </c>
      <c r="D52" s="2" t="s">
        <v>137</v>
      </c>
      <c r="E52" s="2" t="s">
        <v>109</v>
      </c>
    </row>
    <row r="53" spans="1:5" ht="15.75" customHeight="1" x14ac:dyDescent="0.2">
      <c r="A53" s="2" t="s">
        <v>138</v>
      </c>
      <c r="B53" s="8">
        <v>0.04</v>
      </c>
      <c r="C53" s="2" t="s">
        <v>48</v>
      </c>
      <c r="D53" s="2" t="s">
        <v>137</v>
      </c>
      <c r="E53" s="2" t="s">
        <v>109</v>
      </c>
    </row>
    <row r="54" spans="1:5" ht="15.75" customHeight="1" x14ac:dyDescent="0.2">
      <c r="A54" s="15" t="s">
        <v>139</v>
      </c>
      <c r="B54" s="16">
        <v>0.08</v>
      </c>
      <c r="C54" s="15" t="s">
        <v>48</v>
      </c>
      <c r="D54" s="15" t="s">
        <v>140</v>
      </c>
      <c r="E54" s="15" t="s">
        <v>141</v>
      </c>
    </row>
    <row r="55" spans="1:5" ht="15.75" customHeight="1" x14ac:dyDescent="0.2">
      <c r="A55" s="15" t="s">
        <v>142</v>
      </c>
      <c r="B55" s="16">
        <v>0.02</v>
      </c>
      <c r="C55" s="15" t="s">
        <v>48</v>
      </c>
      <c r="D55" s="15" t="s">
        <v>143</v>
      </c>
      <c r="E55" s="15"/>
    </row>
    <row r="56" spans="1:5" ht="15.75" customHeight="1" x14ac:dyDescent="0.2">
      <c r="A56" s="15" t="s">
        <v>144</v>
      </c>
      <c r="B56" s="16">
        <v>0.06</v>
      </c>
      <c r="C56" s="15" t="s">
        <v>48</v>
      </c>
      <c r="D56" s="15" t="s">
        <v>143</v>
      </c>
      <c r="E56" s="15"/>
    </row>
    <row r="57" spans="1:5" ht="15.75" customHeight="1" x14ac:dyDescent="0.2">
      <c r="A57" s="2" t="s">
        <v>145</v>
      </c>
      <c r="B57" s="8">
        <v>0.09</v>
      </c>
      <c r="C57" s="2" t="s">
        <v>48</v>
      </c>
      <c r="D57" s="2" t="s">
        <v>146</v>
      </c>
      <c r="E57" s="2" t="s">
        <v>147</v>
      </c>
    </row>
    <row r="58" spans="1:5" ht="15.75" customHeight="1" x14ac:dyDescent="0.2">
      <c r="A58" s="2" t="s">
        <v>148</v>
      </c>
      <c r="B58" s="10">
        <v>0.33</v>
      </c>
      <c r="C58" s="2" t="s">
        <v>48</v>
      </c>
      <c r="D58" s="2" t="s">
        <v>149</v>
      </c>
      <c r="E58" s="2" t="s">
        <v>150</v>
      </c>
    </row>
    <row r="59" spans="1:5" ht="15.75" customHeight="1" x14ac:dyDescent="0.2">
      <c r="A59" s="2" t="s">
        <v>151</v>
      </c>
      <c r="B59" s="10">
        <v>0.6</v>
      </c>
      <c r="C59" s="2" t="s">
        <v>48</v>
      </c>
      <c r="D59" s="2" t="s">
        <v>149</v>
      </c>
      <c r="E59" s="2" t="s">
        <v>42</v>
      </c>
    </row>
    <row r="60" spans="1:5" ht="15.75" customHeight="1" x14ac:dyDescent="0.2">
      <c r="A60" s="2" t="s">
        <v>152</v>
      </c>
      <c r="B60" s="10">
        <v>1</v>
      </c>
      <c r="C60" s="2" t="s">
        <v>48</v>
      </c>
      <c r="D60" s="2" t="s">
        <v>153</v>
      </c>
      <c r="E60" s="2" t="s">
        <v>54</v>
      </c>
    </row>
    <row r="61" spans="1:5" ht="18" customHeight="1" x14ac:dyDescent="0.2">
      <c r="A61" s="2" t="s">
        <v>154</v>
      </c>
      <c r="B61" s="17">
        <v>2.5000000000000001E-2</v>
      </c>
      <c r="C61" s="2" t="s">
        <v>48</v>
      </c>
      <c r="D61" s="2" t="s">
        <v>155</v>
      </c>
      <c r="E61" s="2" t="s">
        <v>156</v>
      </c>
    </row>
    <row r="62" spans="1:5" ht="15.75" customHeight="1" x14ac:dyDescent="0.2">
      <c r="A62" s="2" t="s">
        <v>157</v>
      </c>
      <c r="B62" s="17">
        <v>5.0000000000000001E-3</v>
      </c>
      <c r="C62" s="2" t="s">
        <v>48</v>
      </c>
      <c r="D62" s="2" t="s">
        <v>158</v>
      </c>
      <c r="E62" s="2" t="s">
        <v>159</v>
      </c>
    </row>
    <row r="63" spans="1:5" ht="15.75" customHeight="1" x14ac:dyDescent="0.2">
      <c r="A63" s="2" t="s">
        <v>160</v>
      </c>
      <c r="B63" s="17">
        <v>1.2500000000000001E-2</v>
      </c>
      <c r="C63" s="2" t="s">
        <v>48</v>
      </c>
      <c r="D63" s="2" t="s">
        <v>158</v>
      </c>
      <c r="E63" s="2" t="s">
        <v>159</v>
      </c>
    </row>
    <row r="64" spans="1:5" ht="15.75" customHeight="1" x14ac:dyDescent="0.2">
      <c r="A64" s="2" t="s">
        <v>161</v>
      </c>
      <c r="B64" s="8">
        <v>0.04</v>
      </c>
      <c r="C64" s="2" t="s">
        <v>48</v>
      </c>
      <c r="D64" s="2" t="s">
        <v>158</v>
      </c>
      <c r="E64" s="2" t="s">
        <v>159</v>
      </c>
    </row>
    <row r="65" spans="1:5" ht="15.75" customHeight="1" x14ac:dyDescent="0.2">
      <c r="A65" s="2" t="s">
        <v>162</v>
      </c>
      <c r="B65" s="3">
        <v>40</v>
      </c>
      <c r="C65" s="2" t="s">
        <v>13</v>
      </c>
      <c r="D65" s="2" t="s">
        <v>163</v>
      </c>
      <c r="E65" s="2" t="s">
        <v>164</v>
      </c>
    </row>
    <row r="66" spans="1:5" ht="15.75" customHeight="1" x14ac:dyDescent="0.2">
      <c r="A66" s="2" t="s">
        <v>165</v>
      </c>
      <c r="B66" s="12">
        <v>5.6079999999999998E-2</v>
      </c>
      <c r="C66" s="2" t="s">
        <v>48</v>
      </c>
      <c r="D66" s="2" t="s">
        <v>166</v>
      </c>
      <c r="E66" s="2" t="s">
        <v>91</v>
      </c>
    </row>
    <row r="67" spans="1:5" ht="31.5" customHeight="1" x14ac:dyDescent="0.2">
      <c r="A67" s="2" t="s">
        <v>167</v>
      </c>
      <c r="B67" s="8">
        <v>1.4999999999999999E-2</v>
      </c>
      <c r="C67" s="2" t="s">
        <v>48</v>
      </c>
      <c r="D67" s="2" t="s">
        <v>168</v>
      </c>
      <c r="E67" s="2" t="s">
        <v>169</v>
      </c>
    </row>
    <row r="68" spans="1:5" ht="15.75" customHeight="1" x14ac:dyDescent="0.2">
      <c r="A68" s="2" t="s">
        <v>170</v>
      </c>
      <c r="B68" s="8">
        <v>5.0000000000000001E-4</v>
      </c>
      <c r="C68" s="2" t="s">
        <v>48</v>
      </c>
      <c r="D68" s="2" t="s">
        <v>171</v>
      </c>
      <c r="E68" s="2" t="s">
        <v>172</v>
      </c>
    </row>
    <row r="69" spans="1:5" ht="15.75" customHeight="1" x14ac:dyDescent="0.2">
      <c r="A69" s="2" t="s">
        <v>173</v>
      </c>
      <c r="B69" s="10">
        <v>0.3</v>
      </c>
      <c r="C69" s="2" t="s">
        <v>48</v>
      </c>
      <c r="D69" s="2" t="s">
        <v>174</v>
      </c>
      <c r="E69" s="2" t="s">
        <v>175</v>
      </c>
    </row>
    <row r="71" spans="1:5" ht="15" customHeight="1" x14ac:dyDescent="0.2">
      <c r="A71" s="187" t="s">
        <v>176</v>
      </c>
      <c r="B71" s="188"/>
      <c r="C71" s="188"/>
      <c r="D71" s="188"/>
      <c r="E71" s="189"/>
    </row>
    <row r="72" spans="1:5" ht="15.75" customHeight="1" x14ac:dyDescent="0.2">
      <c r="A72" s="2" t="s">
        <v>177</v>
      </c>
      <c r="B72" s="10">
        <v>0.27</v>
      </c>
      <c r="C72" s="2" t="s">
        <v>48</v>
      </c>
      <c r="D72" s="2" t="s">
        <v>178</v>
      </c>
      <c r="E72" s="2" t="s">
        <v>179</v>
      </c>
    </row>
    <row r="73" spans="1:5" ht="15.75" customHeight="1" x14ac:dyDescent="0.2">
      <c r="A73" s="2" t="s">
        <v>180</v>
      </c>
      <c r="B73" s="10">
        <v>0.1</v>
      </c>
      <c r="C73" s="2" t="s">
        <v>48</v>
      </c>
      <c r="D73" s="2" t="s">
        <v>181</v>
      </c>
      <c r="E73" s="2" t="s">
        <v>109</v>
      </c>
    </row>
    <row r="74" spans="1:5" ht="15.75" customHeight="1" x14ac:dyDescent="0.2">
      <c r="A74" s="2" t="s">
        <v>182</v>
      </c>
      <c r="B74" s="10">
        <v>0.3</v>
      </c>
      <c r="C74" s="2" t="s">
        <v>48</v>
      </c>
      <c r="D74" s="2" t="s">
        <v>183</v>
      </c>
      <c r="E74" s="2" t="s">
        <v>184</v>
      </c>
    </row>
    <row r="75" spans="1:5" ht="15.75" customHeight="1" x14ac:dyDescent="0.2">
      <c r="A75" s="2" t="s">
        <v>185</v>
      </c>
      <c r="B75" s="3">
        <v>244</v>
      </c>
      <c r="C75" s="2" t="s">
        <v>56</v>
      </c>
      <c r="D75" s="2" t="s">
        <v>186</v>
      </c>
      <c r="E75" s="2" t="s">
        <v>187</v>
      </c>
    </row>
    <row r="76" spans="1:5" ht="15.75" customHeight="1" x14ac:dyDescent="0.2">
      <c r="A76" s="2" t="s">
        <v>188</v>
      </c>
      <c r="B76" s="3">
        <v>3</v>
      </c>
      <c r="C76" s="2" t="s">
        <v>13</v>
      </c>
      <c r="D76" s="2" t="s">
        <v>189</v>
      </c>
      <c r="E76" s="2" t="s">
        <v>109</v>
      </c>
    </row>
    <row r="78" spans="1:5" ht="15" customHeight="1" x14ac:dyDescent="0.2">
      <c r="A78" s="187" t="s">
        <v>190</v>
      </c>
      <c r="B78" s="188"/>
      <c r="C78" s="188"/>
      <c r="D78" s="188"/>
      <c r="E78" s="189"/>
    </row>
    <row r="79" spans="1:5" ht="15.75" customHeight="1" x14ac:dyDescent="0.2">
      <c r="A79" s="2" t="s">
        <v>191</v>
      </c>
      <c r="B79" s="3">
        <v>67</v>
      </c>
      <c r="C79" s="2" t="s">
        <v>13</v>
      </c>
      <c r="D79" s="2" t="s">
        <v>192</v>
      </c>
      <c r="E79" s="2" t="s">
        <v>85</v>
      </c>
    </row>
    <row r="80" spans="1:5" ht="15.75" customHeight="1" x14ac:dyDescent="0.2">
      <c r="A80" s="2" t="s">
        <v>193</v>
      </c>
      <c r="B80" s="3">
        <v>69</v>
      </c>
      <c r="C80" s="2" t="s">
        <v>13</v>
      </c>
      <c r="D80" s="2" t="s">
        <v>194</v>
      </c>
      <c r="E80" s="2" t="s">
        <v>109</v>
      </c>
    </row>
    <row r="81" spans="1:5" ht="15.75" customHeight="1" x14ac:dyDescent="0.2">
      <c r="A81" s="2" t="s">
        <v>195</v>
      </c>
      <c r="B81" s="3">
        <v>3.5</v>
      </c>
      <c r="C81" s="2" t="s">
        <v>196</v>
      </c>
      <c r="D81" s="2" t="s">
        <v>197</v>
      </c>
      <c r="E81" s="2" t="s">
        <v>198</v>
      </c>
    </row>
    <row r="82" spans="1:5" ht="15.75" customHeight="1" x14ac:dyDescent="0.2">
      <c r="A82" s="2" t="s">
        <v>199</v>
      </c>
      <c r="B82" s="5">
        <v>9</v>
      </c>
      <c r="C82" s="2" t="s">
        <v>196</v>
      </c>
      <c r="D82" s="2" t="s">
        <v>200</v>
      </c>
      <c r="E82" s="2" t="s">
        <v>201</v>
      </c>
    </row>
    <row r="83" spans="1:5" ht="15.75" customHeight="1" x14ac:dyDescent="0.2">
      <c r="A83" s="2" t="s">
        <v>202</v>
      </c>
      <c r="B83" s="3">
        <v>15</v>
      </c>
      <c r="C83" s="2" t="s">
        <v>13</v>
      </c>
      <c r="D83" s="2" t="s">
        <v>203</v>
      </c>
      <c r="E83" s="2" t="s">
        <v>109</v>
      </c>
    </row>
    <row r="85" spans="1:5" ht="15" customHeight="1" x14ac:dyDescent="0.2">
      <c r="A85" s="187" t="s">
        <v>204</v>
      </c>
      <c r="B85" s="188"/>
      <c r="C85" s="188"/>
      <c r="D85" s="188"/>
      <c r="E85" s="189"/>
    </row>
    <row r="86" spans="1:5" ht="15.75" customHeight="1" x14ac:dyDescent="0.2">
      <c r="A86" s="2" t="s">
        <v>205</v>
      </c>
      <c r="B86" s="9">
        <v>369000</v>
      </c>
      <c r="C86" s="2" t="s">
        <v>24</v>
      </c>
      <c r="D86" s="2" t="s">
        <v>206</v>
      </c>
      <c r="E86" s="2" t="s">
        <v>207</v>
      </c>
    </row>
    <row r="87" spans="1:5" ht="15.75" customHeight="1" x14ac:dyDescent="0.2">
      <c r="A87" s="2" t="s">
        <v>208</v>
      </c>
      <c r="B87" s="10">
        <v>0.55000000000000004</v>
      </c>
      <c r="C87" s="2" t="s">
        <v>48</v>
      </c>
      <c r="D87" s="2" t="s">
        <v>209</v>
      </c>
      <c r="E87" s="2" t="s">
        <v>210</v>
      </c>
    </row>
    <row r="88" spans="1:5" ht="15.75" customHeight="1" x14ac:dyDescent="0.2">
      <c r="A88" s="2" t="s">
        <v>211</v>
      </c>
      <c r="B88" s="10">
        <v>0.3</v>
      </c>
      <c r="C88" s="2" t="s">
        <v>48</v>
      </c>
      <c r="D88" s="2" t="s">
        <v>209</v>
      </c>
      <c r="E88" s="2" t="s">
        <v>210</v>
      </c>
    </row>
    <row r="89" spans="1:5" ht="15.75" customHeight="1" x14ac:dyDescent="0.2">
      <c r="A89" s="2" t="s">
        <v>212</v>
      </c>
      <c r="B89" s="10">
        <v>0.15</v>
      </c>
      <c r="C89" s="2" t="s">
        <v>48</v>
      </c>
      <c r="D89" s="2" t="s">
        <v>209</v>
      </c>
      <c r="E89" s="2" t="s">
        <v>210</v>
      </c>
    </row>
    <row r="90" spans="1:5" ht="15.75" customHeight="1" x14ac:dyDescent="0.2">
      <c r="A90" s="2" t="s">
        <v>213</v>
      </c>
      <c r="B90" s="3">
        <v>2000</v>
      </c>
      <c r="C90" s="2" t="s">
        <v>63</v>
      </c>
      <c r="D90" s="2" t="s">
        <v>214</v>
      </c>
      <c r="E90" s="2" t="s">
        <v>215</v>
      </c>
    </row>
    <row r="91" spans="1:5" ht="15.75" customHeight="1" x14ac:dyDescent="0.2">
      <c r="A91" s="2" t="s">
        <v>216</v>
      </c>
      <c r="B91" s="3">
        <v>1200</v>
      </c>
      <c r="C91" s="2" t="s">
        <v>63</v>
      </c>
      <c r="D91" s="2" t="s">
        <v>214</v>
      </c>
      <c r="E91" s="2" t="s">
        <v>217</v>
      </c>
    </row>
    <row r="92" spans="1:5" ht="15.75" customHeight="1" x14ac:dyDescent="0.2">
      <c r="A92" s="2" t="s">
        <v>218</v>
      </c>
      <c r="B92" s="3">
        <v>600</v>
      </c>
      <c r="C92" s="2" t="s">
        <v>63</v>
      </c>
      <c r="D92" s="2" t="s">
        <v>214</v>
      </c>
      <c r="E92" s="2" t="s">
        <v>217</v>
      </c>
    </row>
    <row r="93" spans="1:5" ht="15.75" customHeight="1" x14ac:dyDescent="0.2">
      <c r="A93" s="2" t="s">
        <v>219</v>
      </c>
      <c r="B93" s="3">
        <v>5</v>
      </c>
      <c r="C93" s="2" t="s">
        <v>13</v>
      </c>
      <c r="D93" s="2" t="s">
        <v>220</v>
      </c>
      <c r="E93" s="2" t="s">
        <v>109</v>
      </c>
    </row>
    <row r="95" spans="1:5" ht="15" customHeight="1" x14ac:dyDescent="0.2">
      <c r="A95" s="187" t="s">
        <v>221</v>
      </c>
      <c r="B95" s="188"/>
      <c r="C95" s="188"/>
      <c r="D95" s="188"/>
      <c r="E95" s="189"/>
    </row>
    <row r="96" spans="1:5" ht="15.75" customHeight="1" x14ac:dyDescent="0.2">
      <c r="A96" s="2" t="s">
        <v>222</v>
      </c>
      <c r="B96" s="3">
        <v>1350</v>
      </c>
      <c r="C96" s="2" t="s">
        <v>74</v>
      </c>
      <c r="D96" s="2" t="s">
        <v>223</v>
      </c>
      <c r="E96" s="2" t="s">
        <v>224</v>
      </c>
    </row>
    <row r="97" spans="1:5" ht="15.75" customHeight="1" x14ac:dyDescent="0.2">
      <c r="A97" s="2" t="s">
        <v>225</v>
      </c>
      <c r="B97" s="10">
        <v>0.4</v>
      </c>
      <c r="C97" s="2" t="s">
        <v>48</v>
      </c>
      <c r="D97" s="2" t="s">
        <v>226</v>
      </c>
      <c r="E97" s="2" t="s">
        <v>227</v>
      </c>
    </row>
    <row r="98" spans="1:5" ht="15.75" customHeight="1" x14ac:dyDescent="0.2">
      <c r="A98" s="2" t="s">
        <v>228</v>
      </c>
      <c r="B98" s="10">
        <v>0.95</v>
      </c>
      <c r="C98" s="2" t="s">
        <v>48</v>
      </c>
      <c r="D98" s="2" t="s">
        <v>229</v>
      </c>
      <c r="E98" s="2" t="s">
        <v>230</v>
      </c>
    </row>
    <row r="99" spans="1:5" ht="15.75" customHeight="1" x14ac:dyDescent="0.2">
      <c r="A99" s="2" t="s">
        <v>231</v>
      </c>
      <c r="B99" s="3">
        <v>30</v>
      </c>
      <c r="C99" s="2" t="s">
        <v>13</v>
      </c>
      <c r="D99" s="2" t="s">
        <v>232</v>
      </c>
      <c r="E99" s="2" t="s">
        <v>233</v>
      </c>
    </row>
    <row r="101" spans="1:5" ht="15" customHeight="1" x14ac:dyDescent="0.2">
      <c r="A101" s="187" t="s">
        <v>234</v>
      </c>
      <c r="B101" s="188"/>
      <c r="C101" s="188"/>
      <c r="D101" s="188"/>
      <c r="E101" s="189"/>
    </row>
    <row r="102" spans="1:5" ht="31.5" customHeight="1" x14ac:dyDescent="0.2">
      <c r="A102" s="2" t="s">
        <v>235</v>
      </c>
      <c r="B102" s="5">
        <v>6</v>
      </c>
      <c r="C102" s="2" t="s">
        <v>196</v>
      </c>
      <c r="D102" s="2" t="s">
        <v>236</v>
      </c>
      <c r="E102" s="2" t="s">
        <v>237</v>
      </c>
    </row>
    <row r="103" spans="1:5" ht="15.75" customHeight="1" x14ac:dyDescent="0.2">
      <c r="A103" s="2" t="s">
        <v>238</v>
      </c>
      <c r="B103" s="3">
        <v>1</v>
      </c>
      <c r="C103" s="2" t="s">
        <v>9</v>
      </c>
      <c r="D103" s="2" t="s">
        <v>239</v>
      </c>
      <c r="E103" s="2" t="s">
        <v>240</v>
      </c>
    </row>
    <row r="104" spans="1:5" ht="15.75" customHeight="1" x14ac:dyDescent="0.2">
      <c r="A104" s="2" t="s">
        <v>241</v>
      </c>
      <c r="B104" s="5">
        <v>5</v>
      </c>
      <c r="C104" s="2" t="s">
        <v>196</v>
      </c>
      <c r="D104" s="2" t="s">
        <v>242</v>
      </c>
      <c r="E104" s="2" t="s">
        <v>243</v>
      </c>
    </row>
    <row r="105" spans="1:5" ht="15.75" customHeight="1" x14ac:dyDescent="0.2">
      <c r="A105" s="2" t="s">
        <v>244</v>
      </c>
      <c r="B105" s="3">
        <v>2</v>
      </c>
      <c r="C105" s="2" t="s">
        <v>9</v>
      </c>
      <c r="D105" s="2" t="s">
        <v>245</v>
      </c>
      <c r="E105" s="2" t="s">
        <v>240</v>
      </c>
    </row>
    <row r="106" spans="1:5" ht="15.75" customHeight="1" x14ac:dyDescent="0.2">
      <c r="A106" s="2" t="s">
        <v>246</v>
      </c>
      <c r="B106" s="4">
        <v>2.75</v>
      </c>
      <c r="C106" s="2" t="s">
        <v>196</v>
      </c>
      <c r="D106" s="2" t="s">
        <v>247</v>
      </c>
      <c r="E106" s="2" t="s">
        <v>248</v>
      </c>
    </row>
    <row r="107" spans="1:5" ht="15.75" customHeight="1" x14ac:dyDescent="0.2">
      <c r="A107" s="2" t="s">
        <v>249</v>
      </c>
      <c r="B107" s="3">
        <v>2</v>
      </c>
      <c r="C107" s="2" t="s">
        <v>9</v>
      </c>
      <c r="D107" s="2" t="s">
        <v>250</v>
      </c>
      <c r="E107" s="2" t="s">
        <v>240</v>
      </c>
    </row>
    <row r="108" spans="1:5" ht="31.5" customHeight="1" x14ac:dyDescent="0.2">
      <c r="A108" s="2" t="s">
        <v>251</v>
      </c>
      <c r="B108" s="4">
        <v>1</v>
      </c>
      <c r="C108" s="2" t="s">
        <v>196</v>
      </c>
      <c r="D108" s="2" t="s">
        <v>252</v>
      </c>
      <c r="E108" s="2" t="s">
        <v>253</v>
      </c>
    </row>
    <row r="109" spans="1:5" ht="15.75" customHeight="1" x14ac:dyDescent="0.2">
      <c r="A109" s="2" t="s">
        <v>254</v>
      </c>
      <c r="B109" s="3">
        <v>1</v>
      </c>
      <c r="C109" s="2" t="s">
        <v>9</v>
      </c>
      <c r="D109" s="2" t="s">
        <v>239</v>
      </c>
      <c r="E109" s="2" t="s">
        <v>240</v>
      </c>
    </row>
    <row r="111" spans="1:5" ht="15" customHeight="1" x14ac:dyDescent="0.2">
      <c r="A111" s="187" t="s">
        <v>255</v>
      </c>
      <c r="B111" s="188"/>
      <c r="C111" s="188"/>
      <c r="D111" s="188"/>
      <c r="E111" s="189"/>
    </row>
    <row r="112" spans="1:5" ht="15.75" customHeight="1" x14ac:dyDescent="0.2">
      <c r="A112" s="2" t="s">
        <v>256</v>
      </c>
      <c r="B112" s="3">
        <v>32.5</v>
      </c>
      <c r="C112" s="2" t="s">
        <v>196</v>
      </c>
      <c r="D112" s="2" t="s">
        <v>257</v>
      </c>
      <c r="E112" s="2" t="s">
        <v>258</v>
      </c>
    </row>
    <row r="113" spans="1:5" ht="15.75" customHeight="1" x14ac:dyDescent="0.2">
      <c r="A113" s="2" t="s">
        <v>259</v>
      </c>
      <c r="B113" s="10">
        <v>0</v>
      </c>
      <c r="C113" s="2" t="s">
        <v>37</v>
      </c>
      <c r="D113" s="2" t="s">
        <v>260</v>
      </c>
      <c r="E113" s="2" t="s">
        <v>82</v>
      </c>
    </row>
    <row r="115" spans="1:5" ht="15" customHeight="1" x14ac:dyDescent="0.2">
      <c r="A115" s="187" t="s">
        <v>261</v>
      </c>
      <c r="B115" s="188"/>
      <c r="C115" s="188"/>
      <c r="D115" s="188"/>
      <c r="E115" s="189"/>
    </row>
    <row r="116" spans="1:5" ht="15.75" customHeight="1" x14ac:dyDescent="0.2">
      <c r="A116" s="2" t="s">
        <v>262</v>
      </c>
      <c r="B116" s="5">
        <v>2.4</v>
      </c>
      <c r="C116" s="2" t="s">
        <v>196</v>
      </c>
      <c r="D116" s="2" t="s">
        <v>263</v>
      </c>
      <c r="E116" s="2" t="s">
        <v>264</v>
      </c>
    </row>
    <row r="117" spans="1:5" ht="15.75" customHeight="1" x14ac:dyDescent="0.2">
      <c r="A117" s="2" t="s">
        <v>265</v>
      </c>
      <c r="B117" s="5">
        <v>7.6</v>
      </c>
      <c r="C117" s="2" t="s">
        <v>196</v>
      </c>
      <c r="D117" s="2" t="s">
        <v>266</v>
      </c>
      <c r="E117" s="2" t="s">
        <v>264</v>
      </c>
    </row>
    <row r="118" spans="1:5" ht="31.5" customHeight="1" x14ac:dyDescent="0.2">
      <c r="A118" s="2" t="s">
        <v>267</v>
      </c>
      <c r="B118" s="5">
        <v>10</v>
      </c>
      <c r="C118" s="2" t="s">
        <v>196</v>
      </c>
      <c r="D118" s="2" t="s">
        <v>268</v>
      </c>
      <c r="E118" s="2" t="s">
        <v>269</v>
      </c>
    </row>
    <row r="120" spans="1:5" ht="15" customHeight="1" x14ac:dyDescent="0.2">
      <c r="A120" s="185" t="s">
        <v>270</v>
      </c>
      <c r="B120" s="183"/>
      <c r="C120" s="183"/>
      <c r="D120" s="183"/>
      <c r="E120" s="183"/>
    </row>
    <row r="121" spans="1:5" ht="48" customHeight="1" x14ac:dyDescent="0.2">
      <c r="A121" s="13" t="s">
        <v>271</v>
      </c>
      <c r="B121" s="18">
        <v>9.7339999999999996E-2</v>
      </c>
      <c r="C121" s="13" t="s">
        <v>272</v>
      </c>
      <c r="D121" s="13" t="s">
        <v>273</v>
      </c>
      <c r="E121" s="19" t="s">
        <v>274</v>
      </c>
    </row>
    <row r="122" spans="1:5" ht="15" customHeight="1" x14ac:dyDescent="0.2">
      <c r="A122" s="13" t="s">
        <v>275</v>
      </c>
      <c r="B122" s="18">
        <v>1.823E-2</v>
      </c>
      <c r="C122" s="13" t="s">
        <v>272</v>
      </c>
      <c r="D122" s="13" t="s">
        <v>276</v>
      </c>
      <c r="E122" s="13"/>
    </row>
    <row r="123" spans="1:5" ht="15" customHeight="1" x14ac:dyDescent="0.2">
      <c r="B123" s="14"/>
    </row>
    <row r="124" spans="1:5" ht="15" customHeight="1" x14ac:dyDescent="0.2">
      <c r="A124" s="185" t="s">
        <v>277</v>
      </c>
      <c r="B124" s="183"/>
      <c r="C124" s="183"/>
      <c r="D124" s="183"/>
      <c r="E124" s="183"/>
    </row>
    <row r="125" spans="1:5" ht="15" customHeight="1" x14ac:dyDescent="0.2">
      <c r="A125" s="13" t="s">
        <v>278</v>
      </c>
      <c r="B125" s="13">
        <v>4</v>
      </c>
      <c r="C125" s="13" t="s">
        <v>279</v>
      </c>
      <c r="D125" s="13" t="s">
        <v>280</v>
      </c>
      <c r="E125" s="13" t="s">
        <v>281</v>
      </c>
    </row>
    <row r="126" spans="1:5" ht="15" customHeight="1" x14ac:dyDescent="0.2">
      <c r="A126" s="13" t="s">
        <v>282</v>
      </c>
      <c r="B126" s="13">
        <v>11</v>
      </c>
      <c r="C126" s="13" t="s">
        <v>279</v>
      </c>
      <c r="D126" s="13" t="s">
        <v>283</v>
      </c>
      <c r="E126" s="13" t="s">
        <v>284</v>
      </c>
    </row>
    <row r="127" spans="1:5" ht="15" customHeight="1" x14ac:dyDescent="0.2">
      <c r="A127" s="13" t="s">
        <v>285</v>
      </c>
      <c r="B127" s="13">
        <v>1.4999999999999999E-2</v>
      </c>
      <c r="C127" s="13" t="s">
        <v>286</v>
      </c>
      <c r="D127" s="13" t="s">
        <v>287</v>
      </c>
      <c r="E127" s="13" t="s">
        <v>288</v>
      </c>
    </row>
    <row r="128" spans="1:5" ht="15" customHeight="1" x14ac:dyDescent="0.2">
      <c r="A128" s="13" t="s">
        <v>289</v>
      </c>
      <c r="B128" s="13">
        <v>0.14000000000000001</v>
      </c>
      <c r="C128" s="20" t="s">
        <v>290</v>
      </c>
      <c r="D128" s="13" t="s">
        <v>291</v>
      </c>
      <c r="E128" s="13" t="s">
        <v>292</v>
      </c>
    </row>
    <row r="129" spans="1:5" ht="15" customHeight="1" x14ac:dyDescent="0.2">
      <c r="A129" s="13" t="s">
        <v>293</v>
      </c>
      <c r="B129" s="13">
        <v>3.0000000000000001E-3</v>
      </c>
      <c r="C129" s="13" t="s">
        <v>13</v>
      </c>
      <c r="D129" s="13" t="s">
        <v>294</v>
      </c>
      <c r="E129" s="13" t="s">
        <v>295</v>
      </c>
    </row>
    <row r="130" spans="1:5" ht="15" customHeight="1" x14ac:dyDescent="0.2">
      <c r="A130" s="119" t="s">
        <v>296</v>
      </c>
      <c r="B130" s="119">
        <v>0</v>
      </c>
      <c r="C130" s="119"/>
      <c r="D130" s="119"/>
      <c r="E130" s="119"/>
    </row>
    <row r="131" spans="1:5" ht="15" customHeight="1" x14ac:dyDescent="0.2"/>
    <row r="132" spans="1:5" ht="15" customHeight="1" x14ac:dyDescent="0.2">
      <c r="A132" s="126" t="s">
        <v>297</v>
      </c>
      <c r="B132" s="95"/>
      <c r="C132" s="95"/>
      <c r="D132" s="95"/>
      <c r="E132" s="95"/>
    </row>
    <row r="133" spans="1:5" ht="15" customHeight="1" x14ac:dyDescent="0.2">
      <c r="A133" s="119" t="s">
        <v>298</v>
      </c>
      <c r="B133" s="119">
        <v>0.02</v>
      </c>
      <c r="C133" s="119"/>
      <c r="D133" s="119"/>
      <c r="E133" s="119"/>
    </row>
    <row r="134" spans="1:5" ht="15" customHeight="1" x14ac:dyDescent="0.2"/>
    <row r="135" spans="1:5" ht="15" customHeight="1" x14ac:dyDescent="0.2">
      <c r="A135" s="127" t="s">
        <v>299</v>
      </c>
      <c r="B135" s="95"/>
      <c r="C135" s="95" t="s">
        <v>300</v>
      </c>
      <c r="D135" s="95"/>
      <c r="E135" s="95"/>
    </row>
    <row r="136" spans="1:5" ht="15" customHeight="1" x14ac:dyDescent="0.2">
      <c r="A136" s="119" t="s">
        <v>301</v>
      </c>
      <c r="B136" s="119">
        <v>0.72799999999999998</v>
      </c>
      <c r="C136" s="120" t="s">
        <v>302</v>
      </c>
      <c r="D136" s="119"/>
      <c r="E136" s="119"/>
    </row>
    <row r="137" spans="1:5" ht="15" customHeight="1" x14ac:dyDescent="0.2">
      <c r="A137" s="119" t="s">
        <v>303</v>
      </c>
      <c r="B137" s="119">
        <v>0.33</v>
      </c>
      <c r="C137" s="119" t="s">
        <v>304</v>
      </c>
      <c r="D137" s="119"/>
      <c r="E137" s="119"/>
    </row>
    <row r="138" spans="1:5" ht="15" customHeight="1" x14ac:dyDescent="0.2">
      <c r="A138" s="119" t="s">
        <v>305</v>
      </c>
      <c r="B138" s="119">
        <v>20</v>
      </c>
      <c r="C138" s="119" t="s">
        <v>306</v>
      </c>
      <c r="D138" s="119"/>
      <c r="E138" s="119"/>
    </row>
    <row r="139" spans="1:5" ht="15" customHeight="1" x14ac:dyDescent="0.2">
      <c r="A139" s="119" t="s">
        <v>307</v>
      </c>
      <c r="B139" s="119">
        <v>40</v>
      </c>
      <c r="C139" s="119" t="s">
        <v>308</v>
      </c>
      <c r="D139" s="119"/>
      <c r="E139" s="119"/>
    </row>
    <row r="140" spans="1:5" ht="15" customHeight="1" x14ac:dyDescent="0.2">
      <c r="A140" s="119" t="s">
        <v>309</v>
      </c>
      <c r="B140" s="119">
        <v>3</v>
      </c>
      <c r="C140" s="120" t="s">
        <v>310</v>
      </c>
      <c r="D140" s="119"/>
      <c r="E140" s="119"/>
    </row>
    <row r="141" spans="1:5" ht="15" customHeight="1" x14ac:dyDescent="0.2">
      <c r="A141" s="22"/>
      <c r="B141" s="22"/>
      <c r="C141" s="21"/>
    </row>
    <row r="142" spans="1:5" ht="15" customHeight="1" x14ac:dyDescent="0.2">
      <c r="A142" s="128" t="s">
        <v>311</v>
      </c>
      <c r="B142" s="129"/>
      <c r="C142" s="129"/>
      <c r="D142" s="130"/>
      <c r="E142" s="130"/>
    </row>
    <row r="143" spans="1:5" ht="15" customHeight="1" x14ac:dyDescent="0.2">
      <c r="A143" s="121" t="s">
        <v>312</v>
      </c>
      <c r="B143" s="122">
        <v>1</v>
      </c>
      <c r="C143" s="120" t="s">
        <v>313</v>
      </c>
      <c r="D143" s="119"/>
      <c r="E143" s="119"/>
    </row>
    <row r="144" spans="1:5" ht="15" customHeight="1" x14ac:dyDescent="0.2">
      <c r="A144" s="123" t="s">
        <v>314</v>
      </c>
      <c r="B144" s="119">
        <v>1</v>
      </c>
      <c r="C144" s="120" t="s">
        <v>315</v>
      </c>
      <c r="D144" s="119"/>
      <c r="E144" s="119"/>
    </row>
    <row r="145" spans="1:5" ht="15" customHeight="1" x14ac:dyDescent="0.2">
      <c r="A145" s="123" t="s">
        <v>316</v>
      </c>
      <c r="B145" s="124">
        <f>CHOOSE($B$143,$B$18,$B$18,0.166)</f>
        <v>0.11600000000000001</v>
      </c>
      <c r="C145" s="120" t="s">
        <v>317</v>
      </c>
      <c r="D145" s="119"/>
      <c r="E145" s="119"/>
    </row>
    <row r="146" spans="1:5" x14ac:dyDescent="0.2">
      <c r="A146" s="119" t="s">
        <v>318</v>
      </c>
      <c r="B146" s="125">
        <v>3.5</v>
      </c>
      <c r="C146" s="119"/>
      <c r="D146" s="119"/>
      <c r="E146" s="119"/>
    </row>
    <row r="147" spans="1:5" x14ac:dyDescent="0.2">
      <c r="B147" s="138"/>
    </row>
    <row r="148" spans="1:5" ht="15" customHeight="1" x14ac:dyDescent="0.2">
      <c r="A148" s="137" t="s">
        <v>319</v>
      </c>
      <c r="B148" s="137"/>
      <c r="C148" s="137" t="s">
        <v>320</v>
      </c>
      <c r="D148" s="137" t="s">
        <v>321</v>
      </c>
      <c r="E148" s="137" t="s">
        <v>322</v>
      </c>
    </row>
    <row r="149" spans="1:5" ht="15" customHeight="1" x14ac:dyDescent="0.2">
      <c r="A149" s="132" t="s">
        <v>323</v>
      </c>
      <c r="B149" s="133" t="s">
        <v>324</v>
      </c>
      <c r="C149" s="133" t="s">
        <v>325</v>
      </c>
      <c r="D149" s="133" t="s">
        <v>326</v>
      </c>
      <c r="E149" s="119"/>
    </row>
    <row r="150" spans="1:5" ht="15" customHeight="1" x14ac:dyDescent="0.2">
      <c r="A150" s="134" t="s">
        <v>327</v>
      </c>
      <c r="B150" s="135" t="s">
        <v>328</v>
      </c>
      <c r="C150" s="135" t="s">
        <v>329</v>
      </c>
      <c r="D150" s="135" t="s">
        <v>329</v>
      </c>
      <c r="E150" s="119"/>
    </row>
    <row r="151" spans="1:5" ht="15" customHeight="1" x14ac:dyDescent="0.2">
      <c r="A151" s="132" t="s">
        <v>330</v>
      </c>
      <c r="B151" s="133" t="s">
        <v>331</v>
      </c>
      <c r="C151" s="133" t="s">
        <v>332</v>
      </c>
      <c r="D151" s="133" t="s">
        <v>333</v>
      </c>
      <c r="E151" s="119"/>
    </row>
    <row r="152" spans="1:5" ht="15" customHeight="1" x14ac:dyDescent="0.2">
      <c r="A152" s="134" t="s">
        <v>334</v>
      </c>
      <c r="B152" s="135" t="s">
        <v>335</v>
      </c>
      <c r="C152" s="135" t="s">
        <v>336</v>
      </c>
      <c r="D152" s="135" t="s">
        <v>337</v>
      </c>
      <c r="E152" s="119"/>
    </row>
    <row r="153" spans="1:5" ht="15" customHeight="1" x14ac:dyDescent="0.2">
      <c r="A153" s="132" t="s">
        <v>338</v>
      </c>
      <c r="B153" s="133" t="s">
        <v>339</v>
      </c>
      <c r="C153" s="133" t="s">
        <v>340</v>
      </c>
      <c r="D153" s="133" t="s">
        <v>341</v>
      </c>
      <c r="E153" s="119"/>
    </row>
    <row r="154" spans="1:5" ht="15" customHeight="1" x14ac:dyDescent="0.2">
      <c r="A154" s="119" t="s">
        <v>342</v>
      </c>
      <c r="B154" s="125">
        <v>20000</v>
      </c>
      <c r="C154" s="119"/>
      <c r="D154" s="119"/>
      <c r="E154" s="119"/>
    </row>
    <row r="155" spans="1:5" ht="15" customHeight="1" x14ac:dyDescent="0.2">
      <c r="A155" s="119" t="s">
        <v>343</v>
      </c>
      <c r="B155" s="125">
        <f>(B13*B21+B146*B154)/(B13+B146)</f>
        <v>25583.333333333332</v>
      </c>
      <c r="C155" s="119"/>
      <c r="D155" s="119"/>
      <c r="E155" s="119"/>
    </row>
    <row r="156" spans="1:5" ht="15" customHeight="1" x14ac:dyDescent="0.2">
      <c r="A156" s="119" t="s">
        <v>344</v>
      </c>
      <c r="B156" s="136">
        <f>CHOOSE($B$143,$B$13,$B$13+$B$146,$B$13+$B$146)</f>
        <v>17.5</v>
      </c>
      <c r="C156" s="119"/>
      <c r="D156" s="119"/>
      <c r="E156" s="119"/>
    </row>
    <row r="158" spans="1:5" ht="15" customHeight="1" x14ac:dyDescent="0.2">
      <c r="A158" s="131" t="s">
        <v>345</v>
      </c>
      <c r="B158" s="95"/>
      <c r="C158" s="95"/>
      <c r="D158" s="95"/>
    </row>
    <row r="159" spans="1:5" ht="15" customHeight="1" x14ac:dyDescent="0.2">
      <c r="A159" s="119" t="s">
        <v>346</v>
      </c>
      <c r="B159" s="119">
        <v>0</v>
      </c>
      <c r="C159" s="119" t="s">
        <v>347</v>
      </c>
      <c r="D159" s="119"/>
      <c r="E159" s="119"/>
    </row>
    <row r="160" spans="1:5" ht="15" customHeight="1" x14ac:dyDescent="0.2">
      <c r="A160" s="119" t="s">
        <v>348</v>
      </c>
      <c r="B160" s="119">
        <v>5</v>
      </c>
      <c r="C160" s="119" t="s">
        <v>349</v>
      </c>
      <c r="D160" s="119"/>
      <c r="E160" s="119"/>
    </row>
    <row r="161" spans="1:5" ht="15" customHeight="1" x14ac:dyDescent="0.2">
      <c r="A161" s="119" t="s">
        <v>350</v>
      </c>
      <c r="B161" s="119">
        <f>B67+0.005</f>
        <v>0.02</v>
      </c>
      <c r="C161" s="119" t="s">
        <v>351</v>
      </c>
      <c r="D161" s="119"/>
      <c r="E161" s="119"/>
    </row>
  </sheetData>
  <mergeCells count="15">
    <mergeCell ref="A124:E124"/>
    <mergeCell ref="A1:E1"/>
    <mergeCell ref="A5:E5"/>
    <mergeCell ref="A115:E115"/>
    <mergeCell ref="A111:E111"/>
    <mergeCell ref="A120:E120"/>
    <mergeCell ref="A50:E50"/>
    <mergeCell ref="A101:E101"/>
    <mergeCell ref="A78:E78"/>
    <mergeCell ref="A2:E2"/>
    <mergeCell ref="A24:E24"/>
    <mergeCell ref="A95:E95"/>
    <mergeCell ref="A38:E38"/>
    <mergeCell ref="A71:E71"/>
    <mergeCell ref="A85:E8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tabSelected="1" zoomScale="90" zoomScaleNormal="90" workbookViewId="0">
      <pane xSplit="2" ySplit="4" topLeftCell="C5" activePane="bottomRight" state="frozen"/>
      <selection pane="topRight" activeCell="E1" sqref="E1"/>
      <selection pane="bottomLeft" activeCell="A5" sqref="A5"/>
      <selection pane="bottomRight" activeCell="H28" sqref="H28"/>
    </sheetView>
  </sheetViews>
  <sheetFormatPr baseColWidth="10" defaultColWidth="8.83203125" defaultRowHeight="15" x14ac:dyDescent="0.2"/>
  <cols>
    <col min="1" max="1" width="7" customWidth="1"/>
    <col min="2" max="2" width="5" customWidth="1"/>
    <col min="3" max="3" width="18" customWidth="1"/>
    <col min="4" max="4" width="14.6640625" customWidth="1"/>
    <col min="5" max="5" width="11.33203125" customWidth="1"/>
    <col min="6" max="6" width="13.33203125" customWidth="1"/>
    <col min="7" max="7" width="14.33203125" customWidth="1"/>
    <col min="8" max="8" width="18.5" customWidth="1"/>
    <col min="9" max="9" width="19.1640625" customWidth="1"/>
    <col min="10" max="10" width="13.6640625" customWidth="1"/>
    <col min="11" max="11" width="11" customWidth="1"/>
    <col min="12" max="12" width="9" customWidth="1"/>
    <col min="13" max="13" width="13" customWidth="1"/>
    <col min="14" max="16" width="11.6640625" customWidth="1"/>
    <col min="17" max="19" width="15" customWidth="1"/>
    <col min="20" max="21" width="16.83203125" customWidth="1"/>
    <col min="22" max="22" width="11.5" customWidth="1"/>
    <col min="23" max="23" width="14.5" customWidth="1"/>
    <col min="24" max="25" width="11.83203125" customWidth="1"/>
    <col min="26" max="27" width="16.6640625" customWidth="1"/>
    <col min="28" max="28" width="14.1640625" customWidth="1"/>
    <col min="29" max="29" width="13.33203125" customWidth="1"/>
    <col min="30" max="30" width="13.1640625" customWidth="1"/>
    <col min="31" max="31" width="16" customWidth="1"/>
    <col min="32" max="32" width="14.83203125" customWidth="1"/>
    <col min="33" max="33" width="11" customWidth="1"/>
    <col min="34" max="34" width="12.33203125" bestFit="1" customWidth="1"/>
    <col min="35" max="35" width="17.1640625" bestFit="1" customWidth="1"/>
  </cols>
  <sheetData>
    <row r="1" spans="1:35" ht="16.5" customHeight="1" x14ac:dyDescent="0.2">
      <c r="A1" s="182" t="s">
        <v>352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</row>
    <row r="2" spans="1:35" ht="15" customHeight="1" x14ac:dyDescent="0.2">
      <c r="A2" s="184" t="s">
        <v>353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</row>
    <row r="3" spans="1:35" ht="15" customHeight="1" x14ac:dyDescent="0.2">
      <c r="T3" s="14"/>
      <c r="W3" s="24" t="s">
        <v>354</v>
      </c>
    </row>
    <row r="4" spans="1:35" ht="39.75" customHeight="1" x14ac:dyDescent="0.2">
      <c r="A4" s="1" t="s">
        <v>355</v>
      </c>
      <c r="B4" s="1" t="s">
        <v>356</v>
      </c>
      <c r="C4" s="1" t="s">
        <v>357</v>
      </c>
      <c r="D4" s="1" t="s">
        <v>358</v>
      </c>
      <c r="E4" s="1" t="s">
        <v>359</v>
      </c>
      <c r="F4" s="1" t="s">
        <v>360</v>
      </c>
      <c r="G4" s="1" t="s">
        <v>361</v>
      </c>
      <c r="H4" s="1" t="s">
        <v>362</v>
      </c>
      <c r="I4" s="1" t="s">
        <v>363</v>
      </c>
      <c r="J4" s="1" t="s">
        <v>364</v>
      </c>
      <c r="K4" s="1" t="s">
        <v>365</v>
      </c>
      <c r="L4" s="1" t="s">
        <v>366</v>
      </c>
      <c r="M4" s="1" t="s">
        <v>367</v>
      </c>
      <c r="N4" s="25" t="s">
        <v>368</v>
      </c>
      <c r="O4" s="1" t="s">
        <v>369</v>
      </c>
      <c r="P4" s="1" t="s">
        <v>370</v>
      </c>
      <c r="Q4" s="1" t="s">
        <v>371</v>
      </c>
      <c r="R4" s="1" t="s">
        <v>372</v>
      </c>
      <c r="S4" s="1" t="s">
        <v>373</v>
      </c>
      <c r="T4" s="1" t="s">
        <v>374</v>
      </c>
      <c r="U4" s="25" t="s">
        <v>375</v>
      </c>
      <c r="V4" s="1" t="s">
        <v>376</v>
      </c>
      <c r="W4" s="1" t="s">
        <v>377</v>
      </c>
      <c r="X4" s="1" t="s">
        <v>378</v>
      </c>
      <c r="Y4" s="1" t="s">
        <v>379</v>
      </c>
      <c r="Z4" s="1" t="s">
        <v>380</v>
      </c>
      <c r="AA4" s="1" t="s">
        <v>381</v>
      </c>
      <c r="AB4" s="26" t="s">
        <v>382</v>
      </c>
      <c r="AC4" s="26" t="s">
        <v>383</v>
      </c>
      <c r="AD4" s="26" t="s">
        <v>384</v>
      </c>
      <c r="AE4" s="1" t="s">
        <v>385</v>
      </c>
      <c r="AF4" s="1" t="s">
        <v>386</v>
      </c>
      <c r="AG4" s="1" t="s">
        <v>387</v>
      </c>
      <c r="AH4" s="26" t="s">
        <v>388</v>
      </c>
      <c r="AI4" s="26" t="s">
        <v>389</v>
      </c>
    </row>
    <row r="5" spans="1:35" ht="15" customHeight="1" x14ac:dyDescent="0.2">
      <c r="A5" s="27">
        <f>Parametri!$B$6+B5</f>
        <v>2027</v>
      </c>
      <c r="B5" s="28">
        <v>0</v>
      </c>
      <c r="C5" s="29">
        <f>Parametri!$B$9</f>
        <v>22.3</v>
      </c>
      <c r="D5" s="29">
        <f>CHOOSE(Parametri!$B$143,Parametri!$B$13,Parametri!$B$13+Parametri!$B$146,Parametri!$B$13+Parametri!$B$146)</f>
        <v>17.5</v>
      </c>
      <c r="E5" s="30">
        <f t="shared" ref="E5:E38" si="0">D5/C5</f>
        <v>0.78475336322869949</v>
      </c>
      <c r="F5" s="31">
        <f>Parametri!$B$19</f>
        <v>2237</v>
      </c>
      <c r="G5" s="32">
        <f>CHOOSE(Parametri!$B$143,Parametri!$B$21,Parametri!$B$155,Parametri!$B$155)</f>
        <v>26700</v>
      </c>
      <c r="H5" s="31">
        <f t="shared" ref="H5:H38" si="1">F5*I5</f>
        <v>357.92</v>
      </c>
      <c r="I5" s="33">
        <f>IF(B5&lt;=(Parametri!$B$35-Parametri!$B$6),Parametri!$B$32+(Parametri!$B$33-Parametri!$B$32)*B5/(Parametri!$B$35-Parametri!$B$6),Parametri!$B$33+(Parametri!$B$34-Parametri!$B$33)*(B5-(Parametri!$B$35-Parametri!$B$6))/(Parametri!$B$36-Parametri!$B$35))</f>
        <v>0.16</v>
      </c>
      <c r="J5" s="31">
        <f t="shared" ref="J5:J38" si="2">H5-AE5</f>
        <v>348.56105440000005</v>
      </c>
      <c r="K5" s="33">
        <f t="shared" ref="K5:K38" si="3">J5/F5</f>
        <v>0.15581629611086278</v>
      </c>
      <c r="L5" s="33">
        <f>IF(B5&lt;=5,Parametri!$B$58+(Parametri!$B$59-Parametri!$B$58)/5*B5,MIN(Parametri!$B$60,Parametri!$B$59+(Parametri!$B$60-Parametri!$B$59)/24*(B5-5)))</f>
        <v>0.33</v>
      </c>
      <c r="M5" s="29">
        <f t="shared" ref="M5:M38" si="4">L5*D5</f>
        <v>5.7750000000000004</v>
      </c>
      <c r="N5" s="34">
        <f>IF(B5&lt;Parametri!$B$76,Parametri!$B$75*Parametri!$B$74*Parametri!$B$73/Parametri!$B$76,0)</f>
        <v>2.44</v>
      </c>
      <c r="O5" s="35">
        <f>IF(B5&lt;10,Parametri!$B$53,IF(B5&lt;20,Parametri!$B$56,Parametri!$B$57))*M5*G5*Parametri!$B$72/1000</f>
        <v>1.6652790000000002</v>
      </c>
      <c r="P5" s="35">
        <f>MIN(Parametri!$B$81+Parametri!$B$82,
Parametri!$B$81+Parametri!$B$82*(B5+1)/Parametri!$B$83)</f>
        <v>4.0999999999999996</v>
      </c>
      <c r="Q5" s="35">
        <f>-IF(B5&lt;10,Parametri!$B$51,IF(B5&lt;20,Parametri!$B$54,Parametri!$B$57))*M5*G5/1000</f>
        <v>-9.2515500000000017</v>
      </c>
      <c r="R5" s="35">
        <f t="shared" ref="R5:R38" si="5">-Q5-Z5</f>
        <v>6.1677000000000017</v>
      </c>
      <c r="S5" s="35">
        <f>R5</f>
        <v>6.1677000000000017</v>
      </c>
      <c r="T5" s="36">
        <f>-(Parametri!$B$86*(Parametri!$B$87*Parametri!$B$90+Parametri!$B$88*Parametri!$B$91+Parametri!$B$89*Parametri!$B$92)/1000000000)*MIN(B5+1,Parametri!$B$93)</f>
        <v>-0.57194999999999996</v>
      </c>
      <c r="U5" s="36">
        <f>IF(B5&lt;Parametri!$B$125,Parametri!$B$46,IF(B5&lt;Parametri!$B$126,Parametri!$B$47,Parametri!$B$48))*Parametri!$B$96*13/1000000000*((B5+1)*Parametri!$B$121+B5*(B5+1)/2*Parametri!$B$122)</f>
        <v>0.93957435</v>
      </c>
      <c r="V5" s="35">
        <f>IF(B5&gt;=Parametri!$B$103-1,Parametri!$B$102*(1-Parametri!$B$127)^(B5-(Parametri!$B$103-1)),0)</f>
        <v>6</v>
      </c>
      <c r="W5" s="35">
        <f>IF(B5&gt;=Parametri!$B$105-1,Parametri!$B$104,0)</f>
        <v>0</v>
      </c>
      <c r="X5" s="35">
        <f>IF(B5&gt;=Parametri!$B$107-1,Parametri!$B$106+Parametri!$B$128*INT((B5-(Parametri!$B$107-1))/2),0)</f>
        <v>0</v>
      </c>
      <c r="Y5" s="34">
        <f>IF(AND(B5&gt;=Parametri!$B$109-1,B5&lt;Parametri!$B$109-1+Parametri!$B$140),Parametri!$B$108,0)</f>
        <v>1</v>
      </c>
      <c r="Z5" s="37">
        <f>IF(B5&lt;10,Parametri!$B$52,IF(B5&lt;20,Parametri!$B$55,0))*M5*G5/1000</f>
        <v>3.0838500000000004</v>
      </c>
      <c r="AA5" s="38">
        <f>Parametri!$B$159*Parametri!$B$160</f>
        <v>0</v>
      </c>
      <c r="AB5" s="39">
        <f>SUM(Z$5:Z5)+SUM(AA$5:AA5)</f>
        <v>3.0838500000000004</v>
      </c>
      <c r="AC5" s="40">
        <f>-(Parametri!$B$67*SUM(Z$5:Z5)+Parametri!$B$161*SUM(AA$5:AA5))</f>
        <v>-4.6257750000000007E-2</v>
      </c>
      <c r="AD5" s="39">
        <f>0</f>
        <v>0</v>
      </c>
      <c r="AE5" s="41">
        <f t="shared" ref="AE5:AE38" si="6">Z5+AA5+N5+O5+P5+Q5+T5+U5+V5+W5+X5+Y5+AC5+AD5</f>
        <v>9.3589455999999966</v>
      </c>
      <c r="AF5" s="41">
        <f>AE5</f>
        <v>9.3589455999999966</v>
      </c>
      <c r="AG5" s="42">
        <f t="shared" ref="AG5:AG38" si="7">-AF5/F5</f>
        <v>-4.1837038891372356E-3</v>
      </c>
      <c r="AH5" s="139">
        <f>SUM(Z$5:Z5)</f>
        <v>3.0838500000000004</v>
      </c>
      <c r="AI5" s="139">
        <v>0</v>
      </c>
    </row>
    <row r="6" spans="1:35" ht="15" customHeight="1" x14ac:dyDescent="0.2">
      <c r="A6" s="27">
        <f>Parametri!$B$6+B6</f>
        <v>2028</v>
      </c>
      <c r="B6" s="28">
        <v>1</v>
      </c>
      <c r="C6" s="29">
        <f>C5*(1+Parametri!$B$14)</f>
        <v>22.433800000000002</v>
      </c>
      <c r="D6" s="29">
        <f>D5*(1+Parametri!$B$15)+Parametri!$B$145*(1-Parametri!$B$15)^B5</f>
        <v>17.528500000000001</v>
      </c>
      <c r="E6" s="30">
        <f t="shared" si="0"/>
        <v>0.78134333015360746</v>
      </c>
      <c r="F6" s="31">
        <f>F5*(1+Parametri!$B$20)</f>
        <v>2254.8960000000002</v>
      </c>
      <c r="G6" s="32">
        <f>G5*(1+Parametri!$B$22)</f>
        <v>26753.4</v>
      </c>
      <c r="H6" s="31">
        <f t="shared" si="1"/>
        <v>362.69134892307699</v>
      </c>
      <c r="I6" s="33">
        <f>IF(B6&lt;=(Parametri!$B$35-Parametri!$B$6),Parametri!$B$32+(Parametri!$B$33-Parametri!$B$32)*B6/(Parametri!$B$35-Parametri!$B$6),Parametri!$B$33+(Parametri!$B$34-Parametri!$B$33)*(B6-(Parametri!$B$35-Parametri!$B$6))/(Parametri!$B$36-Parametri!$B$35))</f>
        <v>0.16084615384615386</v>
      </c>
      <c r="J6" s="31">
        <f t="shared" si="2"/>
        <v>345.33862419576019</v>
      </c>
      <c r="K6" s="33">
        <f t="shared" si="3"/>
        <v>0.15315057731964585</v>
      </c>
      <c r="L6" s="33">
        <f>IF(B6&lt;=5,Parametri!$B$58+(Parametri!$B$59-Parametri!$B$58)/5*B6,MIN(Parametri!$B$60,Parametri!$B$59+(Parametri!$B$60-Parametri!$B$59)/24*(B6-5)))</f>
        <v>0.38400000000000001</v>
      </c>
      <c r="M6" s="29">
        <f t="shared" si="4"/>
        <v>6.7309440000000009</v>
      </c>
      <c r="N6" s="34">
        <f>IF(B6&lt;Parametri!$B$76,Parametri!$B$75*Parametri!$B$74*Parametri!$B$73/Parametri!$B$76,0)</f>
        <v>2.44</v>
      </c>
      <c r="O6" s="35">
        <f>IF(B6&lt;10,Parametri!$B$53,IF(B6&lt;20,Parametri!$B$56,Parametri!$B$57))*M6*G6*Parametri!$B$72/1000</f>
        <v>1.9448168818636804</v>
      </c>
      <c r="P6" s="35">
        <f>MIN(Parametri!$B$81+Parametri!$B$82,
Parametri!$B$81+Parametri!$B$82*(B6+1)/Parametri!$B$83)</f>
        <v>4.7</v>
      </c>
      <c r="Q6" s="35">
        <f>-IF(B6&lt;10,Parametri!$B$51,IF(B6&lt;20,Parametri!$B$54,Parametri!$B$57))*M6*G6/1000</f>
        <v>-10.804538232576002</v>
      </c>
      <c r="R6" s="35">
        <f t="shared" si="5"/>
        <v>7.203025488384001</v>
      </c>
      <c r="S6" s="35">
        <f t="shared" ref="S6:S38" si="8">S5+R6</f>
        <v>13.370725488384004</v>
      </c>
      <c r="T6" s="36">
        <f>-(Parametri!$B$86*(Parametri!$B$87*Parametri!$B$90+Parametri!$B$88*Parametri!$B$91+Parametri!$B$89*Parametri!$B$92)/1000000000)*MIN(B6+1,Parametri!$B$93)</f>
        <v>-1.1438999999999999</v>
      </c>
      <c r="U6" s="36">
        <f>IF(B6&lt;Parametri!$B$125,Parametri!$B$46,IF(B6&lt;Parametri!$B$126,Parametri!$B$47,Parametri!$B$48))*Parametri!$B$96*13/1000000000*((B6+1)*Parametri!$B$121+B6*(B6+1)/2*Parametri!$B$122)</f>
        <v>2.0551137749999997</v>
      </c>
      <c r="V6" s="35">
        <f>IF(B6&gt;=Parametri!$B$103-1,Parametri!$B$102*(1-Parametri!$B$127)^(B6-(Parametri!$B$103-1)),0)</f>
        <v>5.91</v>
      </c>
      <c r="W6" s="35">
        <f>IF(B6&gt;=Parametri!$B$105-1,Parametri!$B$104,0)</f>
        <v>5</v>
      </c>
      <c r="X6" s="35">
        <f>IF(B6&gt;=Parametri!$B$107-1,Parametri!$B$106+Parametri!$B$128*INT((B6-(Parametri!$B$107-1))/2),0)</f>
        <v>2.75</v>
      </c>
      <c r="Y6" s="34">
        <f>IF(AND(B6&gt;=Parametri!$B$109-1,B6&lt;Parametri!$B$109-1+Parametri!$B$140),Parametri!$B$108,0)</f>
        <v>1</v>
      </c>
      <c r="Z6" s="37">
        <f>IF(B6&lt;10,Parametri!$B$52,IF(B6&lt;20,Parametri!$B$55,0))*M6*G6/1000</f>
        <v>3.601512744192001</v>
      </c>
      <c r="AA6" s="38">
        <f>Parametri!$B$159*Parametri!$B$160</f>
        <v>0</v>
      </c>
      <c r="AB6" s="39">
        <f>SUM(Z$5:Z6)+SUM(AA$5:AA6)</f>
        <v>6.6853627441920018</v>
      </c>
      <c r="AC6" s="40">
        <f>-(Parametri!$B$67*SUM(Z$5:Z6)+Parametri!$B$161*SUM(AA$5:AA6))</f>
        <v>-0.10028044116288003</v>
      </c>
      <c r="AD6" s="39">
        <f>0</f>
        <v>0</v>
      </c>
      <c r="AE6" s="41">
        <f t="shared" si="6"/>
        <v>17.352724727316797</v>
      </c>
      <c r="AF6" s="41">
        <f t="shared" ref="AF6:AF38" si="9">AF5+AE6</f>
        <v>26.711670327316796</v>
      </c>
      <c r="AG6" s="42">
        <f t="shared" si="7"/>
        <v>-1.1846076416525105E-2</v>
      </c>
      <c r="AH6" s="139">
        <f>SUM(Z$5:Z6)</f>
        <v>6.6853627441920018</v>
      </c>
      <c r="AI6" s="139">
        <v>0</v>
      </c>
    </row>
    <row r="7" spans="1:35" ht="15" customHeight="1" x14ac:dyDescent="0.2">
      <c r="A7" s="27">
        <f>Parametri!$B$6+B7</f>
        <v>2029</v>
      </c>
      <c r="B7" s="28">
        <v>2</v>
      </c>
      <c r="C7" s="29">
        <f>C6*(1+Parametri!$B$14)</f>
        <v>22.568402800000001</v>
      </c>
      <c r="D7" s="29">
        <f>D6*(1+Parametri!$B$15)+Parametri!$B$145*(1-Parametri!$B$15)^B6</f>
        <v>17.557437499999999</v>
      </c>
      <c r="E7" s="30">
        <f t="shared" si="0"/>
        <v>0.77796544379294741</v>
      </c>
      <c r="F7" s="31">
        <f>F6*(1+Parametri!$B$20)</f>
        <v>2272.935168</v>
      </c>
      <c r="G7" s="32">
        <f>G6*(1+Parametri!$B$22)</f>
        <v>26806.906800000001</v>
      </c>
      <c r="H7" s="31">
        <f t="shared" si="1"/>
        <v>367.51613254892305</v>
      </c>
      <c r="I7" s="33">
        <f>IF(B7&lt;=(Parametri!$B$35-Parametri!$B$6),Parametri!$B$32+(Parametri!$B$33-Parametri!$B$32)*B7/(Parametri!$B$35-Parametri!$B$6),Parametri!$B$33+(Parametri!$B$34-Parametri!$B$33)*(B7-(Parametri!$B$35-Parametri!$B$6))/(Parametri!$B$36-Parametri!$B$35))</f>
        <v>0.16169230769230769</v>
      </c>
      <c r="J7" s="31">
        <f t="shared" si="2"/>
        <v>349.7557002076411</v>
      </c>
      <c r="K7" s="33">
        <f t="shared" si="3"/>
        <v>0.15387843222796274</v>
      </c>
      <c r="L7" s="33">
        <f>IF(B7&lt;=5,Parametri!$B$58+(Parametri!$B$59-Parametri!$B$58)/5*B7,MIN(Parametri!$B$60,Parametri!$B$59+(Parametri!$B$60-Parametri!$B$59)/24*(B7-5)))</f>
        <v>0.438</v>
      </c>
      <c r="M7" s="29">
        <f t="shared" si="4"/>
        <v>7.6901576249999994</v>
      </c>
      <c r="N7" s="34">
        <f>IF(B7&lt;Parametri!$B$76,Parametri!$B$75*Parametri!$B$74*Parametri!$B$73/Parametri!$B$76,0)</f>
        <v>2.44</v>
      </c>
      <c r="O7" s="35">
        <f>IF(B7&lt;10,Parametri!$B$53,IF(B7&lt;20,Parametri!$B$56,Parametri!$B$57))*M7*G7*Parametri!$B$72/1000</f>
        <v>2.2264128582913911</v>
      </c>
      <c r="P7" s="35">
        <f>MIN(Parametri!$B$81+Parametri!$B$82,
Parametri!$B$81+Parametri!$B$82*(B7+1)/Parametri!$B$83)</f>
        <v>5.3</v>
      </c>
      <c r="Q7" s="35">
        <f>-IF(B7&lt;10,Parametri!$B$51,IF(B7&lt;20,Parametri!$B$54,Parametri!$B$57))*M7*G7/1000</f>
        <v>-12.36896032384106</v>
      </c>
      <c r="R7" s="35">
        <f t="shared" si="5"/>
        <v>8.2459735492273722</v>
      </c>
      <c r="S7" s="35">
        <f t="shared" si="8"/>
        <v>21.616699037611376</v>
      </c>
      <c r="T7" s="36">
        <f>-(Parametri!$B$86*(Parametri!$B$87*Parametri!$B$90+Parametri!$B$88*Parametri!$B$91+Parametri!$B$89*Parametri!$B$92)/1000000000)*MIN(B7+1,Parametri!$B$93)</f>
        <v>-1.7158499999999999</v>
      </c>
      <c r="U7" s="36">
        <f>IF(B7&lt;Parametri!$B$125,Parametri!$B$46,IF(B7&lt;Parametri!$B$126,Parametri!$B$47,Parametri!$B$48))*Parametri!$B$96*13/1000000000*((B7+1)*Parametri!$B$121+B7*(B7+1)/2*Parametri!$B$122)</f>
        <v>3.346618275</v>
      </c>
      <c r="V7" s="35">
        <f>IF(B7&gt;=Parametri!$B$103-1,Parametri!$B$102*(1-Parametri!$B$127)^(B7-(Parametri!$B$103-1)),0)</f>
        <v>5.8213499999999998</v>
      </c>
      <c r="W7" s="35">
        <f>IF(B7&gt;=Parametri!$B$105-1,Parametri!$B$104,0)</f>
        <v>5</v>
      </c>
      <c r="X7" s="35">
        <f>IF(B7&gt;=Parametri!$B$107-1,Parametri!$B$106+Parametri!$B$128*INT((B7-(Parametri!$B$107-1))/2),0)</f>
        <v>2.75</v>
      </c>
      <c r="Y7" s="34">
        <f>IF(AND(B7&gt;=Parametri!$B$109-1,B7&lt;Parametri!$B$109-1+Parametri!$B$140),Parametri!$B$108,0)</f>
        <v>1</v>
      </c>
      <c r="Z7" s="37">
        <f>IF(B7&lt;10,Parametri!$B$52,IF(B7&lt;20,Parametri!$B$55,0))*M7*G7/1000</f>
        <v>4.122986774613687</v>
      </c>
      <c r="AA7" s="38">
        <f>Parametri!$B$159*Parametri!$B$160</f>
        <v>0</v>
      </c>
      <c r="AB7" s="39">
        <f>SUM(Z$5:Z7)+SUM(AA$5:AA7)</f>
        <v>10.808349518805688</v>
      </c>
      <c r="AC7" s="40">
        <f>-(Parametri!$B$67*SUM(Z$5:Z7)+Parametri!$B$161*SUM(AA$5:AA7))</f>
        <v>-0.16212524278208532</v>
      </c>
      <c r="AD7" s="39">
        <f>0</f>
        <v>0</v>
      </c>
      <c r="AE7" s="41">
        <f t="shared" si="6"/>
        <v>17.76043234128193</v>
      </c>
      <c r="AF7" s="41">
        <f t="shared" si="9"/>
        <v>44.472102668598723</v>
      </c>
      <c r="AG7" s="42">
        <f t="shared" si="7"/>
        <v>-1.9565935401373809E-2</v>
      </c>
      <c r="AH7" s="139">
        <f>SUM(Z$5:Z7)</f>
        <v>10.808349518805688</v>
      </c>
      <c r="AI7" s="139">
        <v>0</v>
      </c>
    </row>
    <row r="8" spans="1:35" ht="15" customHeight="1" x14ac:dyDescent="0.2">
      <c r="A8" s="27">
        <f>Parametri!$B$6+B8</f>
        <v>2030</v>
      </c>
      <c r="B8" s="28">
        <v>3</v>
      </c>
      <c r="C8" s="29">
        <f>C7*(1+Parametri!$B$14)</f>
        <v>22.7038132168</v>
      </c>
      <c r="D8" s="29">
        <f>D7*(1+Parametri!$B$15)+Parametri!$B$145*(1-Parametri!$B$15)^B7</f>
        <v>17.586813212499997</v>
      </c>
      <c r="E8" s="30">
        <f t="shared" si="0"/>
        <v>0.77461935775116364</v>
      </c>
      <c r="F8" s="31">
        <f>F7*(1+Parametri!$B$20)</f>
        <v>2291.118649344</v>
      </c>
      <c r="G8" s="32">
        <f>G7*(1+Parametri!$B$22)</f>
        <v>26860.520613600002</v>
      </c>
      <c r="H8" s="31">
        <f t="shared" si="1"/>
        <v>372.3949004664517</v>
      </c>
      <c r="I8" s="33">
        <f>IF(B8&lt;=(Parametri!$B$35-Parametri!$B$6),Parametri!$B$32+(Parametri!$B$33-Parametri!$B$32)*B8/(Parametri!$B$35-Parametri!$B$6),Parametri!$B$33+(Parametri!$B$34-Parametri!$B$33)*(B8-(Parametri!$B$35-Parametri!$B$6))/(Parametri!$B$36-Parametri!$B$35))</f>
        <v>0.16253846153846155</v>
      </c>
      <c r="J8" s="31">
        <f t="shared" si="2"/>
        <v>357.3629904855747</v>
      </c>
      <c r="K8" s="33">
        <f t="shared" si="3"/>
        <v>0.1559775136865548</v>
      </c>
      <c r="L8" s="33">
        <f>IF(B8&lt;=5,Parametri!$B$58+(Parametri!$B$59-Parametri!$B$58)/5*B8,MIN(Parametri!$B$60,Parametri!$B$59+(Parametri!$B$60-Parametri!$B$59)/24*(B8-5)))</f>
        <v>0.49199999999999999</v>
      </c>
      <c r="M8" s="29">
        <f t="shared" si="4"/>
        <v>8.6527121005499978</v>
      </c>
      <c r="N8" s="34">
        <f>IF(B8&lt;Parametri!$B$76,Parametri!$B$75*Parametri!$B$74*Parametri!$B$73/Parametri!$B$76,0)</f>
        <v>0</v>
      </c>
      <c r="O8" s="35">
        <f>IF(B8&lt;10,Parametri!$B$53,IF(B8&lt;20,Parametri!$B$56,Parametri!$B$57))*M8*G8*Parametri!$B$72/1000</f>
        <v>2.5100965987959896</v>
      </c>
      <c r="P8" s="35">
        <f>MIN(Parametri!$B$81+Parametri!$B$82,
Parametri!$B$81+Parametri!$B$82*(B8+1)/Parametri!$B$83)</f>
        <v>5.9</v>
      </c>
      <c r="Q8" s="35">
        <f>-IF(B8&lt;10,Parametri!$B$51,IF(B8&lt;20,Parametri!$B$54,Parametri!$B$57))*M8*G8/1000</f>
        <v>-13.944981104422162</v>
      </c>
      <c r="R8" s="35">
        <f t="shared" si="5"/>
        <v>9.2966540696147746</v>
      </c>
      <c r="S8" s="35">
        <f t="shared" si="8"/>
        <v>30.91335310722615</v>
      </c>
      <c r="T8" s="36">
        <f>-(Parametri!$B$86*(Parametri!$B$87*Parametri!$B$90+Parametri!$B$88*Parametri!$B$91+Parametri!$B$89*Parametri!$B$92)/1000000000)*MIN(B8+1,Parametri!$B$93)</f>
        <v>-2.2877999999999998</v>
      </c>
      <c r="U8" s="36">
        <f>IF(B8&lt;Parametri!$B$125,Parametri!$B$46,IF(B8&lt;Parametri!$B$126,Parametri!$B$47,Parametri!$B$48))*Parametri!$B$96*13/1000000000*((B8+1)*Parametri!$B$121+B8*(B8+1)/2*Parametri!$B$122)</f>
        <v>4.8140878499999999</v>
      </c>
      <c r="V8" s="35">
        <f>IF(B8&gt;=Parametri!$B$103-1,Parametri!$B$102*(1-Parametri!$B$127)^(B8-(Parametri!$B$103-1)),0)</f>
        <v>5.7340297500000004</v>
      </c>
      <c r="W8" s="35">
        <f>IF(B8&gt;=Parametri!$B$105-1,Parametri!$B$104,0)</f>
        <v>5</v>
      </c>
      <c r="X8" s="35">
        <f>IF(B8&gt;=Parametri!$B$107-1,Parametri!$B$106+Parametri!$B$128*INT((B8-(Parametri!$B$107-1))/2),0)</f>
        <v>2.89</v>
      </c>
      <c r="Y8" s="34">
        <f>IF(AND(B8&gt;=Parametri!$B$109-1,B8&lt;Parametri!$B$109-1+Parametri!$B$140),Parametri!$B$108,0)</f>
        <v>0</v>
      </c>
      <c r="Z8" s="37">
        <f>IF(B8&lt;10,Parametri!$B$52,IF(B8&lt;20,Parametri!$B$55,0))*M8*G8/1000</f>
        <v>4.6483270348073873</v>
      </c>
      <c r="AA8" s="38">
        <f>Parametri!$B$159*Parametri!$B$160</f>
        <v>0</v>
      </c>
      <c r="AB8" s="39">
        <f>SUM(Z$5:Z8)+SUM(AA$5:AA8)</f>
        <v>15.456676553613075</v>
      </c>
      <c r="AC8" s="40">
        <f>-(Parametri!$B$67*SUM(Z$5:Z8)+Parametri!$B$161*SUM(AA$5:AA8))</f>
        <v>-0.23185014830419612</v>
      </c>
      <c r="AD8" s="39">
        <f>0</f>
        <v>0</v>
      </c>
      <c r="AE8" s="41">
        <f t="shared" si="6"/>
        <v>15.031909980877021</v>
      </c>
      <c r="AF8" s="41">
        <f t="shared" si="9"/>
        <v>59.50401264947574</v>
      </c>
      <c r="AG8" s="42">
        <f t="shared" si="7"/>
        <v>-2.5971598051682355E-2</v>
      </c>
      <c r="AH8" s="139">
        <f>SUM(Z$5:Z8)</f>
        <v>15.456676553613075</v>
      </c>
      <c r="AI8" s="139">
        <v>0</v>
      </c>
    </row>
    <row r="9" spans="1:35" ht="15" customHeight="1" x14ac:dyDescent="0.2">
      <c r="A9" s="27">
        <f>Parametri!$B$6+B9</f>
        <v>2031</v>
      </c>
      <c r="B9" s="28">
        <v>4</v>
      </c>
      <c r="C9" s="29">
        <f>C8*(1+Parametri!$B$14)</f>
        <v>22.8400360961008</v>
      </c>
      <c r="D9" s="29">
        <f>D8*(1+Parametri!$B$15)+Parametri!$B$145*(1-Parametri!$B$15)^B8</f>
        <v>17.616627860937498</v>
      </c>
      <c r="E9" s="30">
        <f t="shared" si="0"/>
        <v>0.77130472941524686</v>
      </c>
      <c r="F9" s="31">
        <f>F8*(1+Parametri!$B$20)</f>
        <v>2309.4475985387521</v>
      </c>
      <c r="G9" s="32">
        <f>G8*(1+Parametri!$B$22)</f>
        <v>26914.241654827201</v>
      </c>
      <c r="H9" s="31">
        <f t="shared" si="1"/>
        <v>377.32820763817762</v>
      </c>
      <c r="I9" s="33">
        <f>IF(B9&lt;=(Parametri!$B$35-Parametri!$B$6),Parametri!$B$32+(Parametri!$B$33-Parametri!$B$32)*B9/(Parametri!$B$35-Parametri!$B$6),Parametri!$B$33+(Parametri!$B$34-Parametri!$B$33)*(B9-(Parametri!$B$35-Parametri!$B$6))/(Parametri!$B$36-Parametri!$B$35))</f>
        <v>0.16338461538461538</v>
      </c>
      <c r="J9" s="31">
        <f t="shared" si="2"/>
        <v>360.97416213820577</v>
      </c>
      <c r="K9" s="33">
        <f t="shared" si="3"/>
        <v>0.15630324860655143</v>
      </c>
      <c r="L9" s="33">
        <f>IF(B9&lt;=5,Parametri!$B$58+(Parametri!$B$59-Parametri!$B$58)/5*B9,MIN(Parametri!$B$60,Parametri!$B$59+(Parametri!$B$60-Parametri!$B$59)/24*(B9-5)))</f>
        <v>0.54600000000000004</v>
      </c>
      <c r="M9" s="29">
        <f t="shared" si="4"/>
        <v>9.6186788120718756</v>
      </c>
      <c r="N9" s="34">
        <f>IF(B9&lt;Parametri!$B$76,Parametri!$B$75*Parametri!$B$74*Parametri!$B$73/Parametri!$B$76,0)</f>
        <v>0</v>
      </c>
      <c r="O9" s="35">
        <f>IF(B9&lt;10,Parametri!$B$53,IF(B9&lt;20,Parametri!$B$56,Parametri!$B$57))*M9*G9*Parametri!$B$72/1000</f>
        <v>2.7958980162413023</v>
      </c>
      <c r="P9" s="35">
        <f>MIN(Parametri!$B$81+Parametri!$B$82,
Parametri!$B$81+Parametri!$B$82*(B9+1)/Parametri!$B$83)</f>
        <v>6.5</v>
      </c>
      <c r="Q9" s="35">
        <f>-IF(B9&lt;10,Parametri!$B$51,IF(B9&lt;20,Parametri!$B$54,Parametri!$B$57))*M9*G9/1000</f>
        <v>-15.532766756896121</v>
      </c>
      <c r="R9" s="35">
        <f t="shared" si="5"/>
        <v>10.355177837930746</v>
      </c>
      <c r="S9" s="35">
        <f t="shared" si="8"/>
        <v>41.268530945156897</v>
      </c>
      <c r="T9" s="36">
        <f>-(Parametri!$B$86*(Parametri!$B$87*Parametri!$B$90+Parametri!$B$88*Parametri!$B$91+Parametri!$B$89*Parametri!$B$92)/1000000000)*MIN(B9+1,Parametri!$B$93)</f>
        <v>-2.85975</v>
      </c>
      <c r="U9" s="36">
        <f>IF(B9&lt;Parametri!$B$125,Parametri!$B$46,IF(B9&lt;Parametri!$B$126,Parametri!$B$47,Parametri!$B$48))*Parametri!$B$96*13/1000000000*((B9+1)*Parametri!$B$121+B9*(B9+1)/2*Parametri!$B$122)</f>
        <v>7.0445699999999984</v>
      </c>
      <c r="V9" s="35">
        <f>IF(B9&gt;=Parametri!$B$103-1,Parametri!$B$102*(1-Parametri!$B$127)^(B9-(Parametri!$B$103-1)),0)</f>
        <v>5.6480193037499999</v>
      </c>
      <c r="W9" s="35">
        <f>IF(B9&gt;=Parametri!$B$105-1,Parametri!$B$104,0)</f>
        <v>5</v>
      </c>
      <c r="X9" s="35">
        <f>IF(B9&gt;=Parametri!$B$107-1,Parametri!$B$106+Parametri!$B$128*INT((B9-(Parametri!$B$107-1))/2),0)</f>
        <v>2.89</v>
      </c>
      <c r="Y9" s="34">
        <f>IF(AND(B9&gt;=Parametri!$B$109-1,B9&lt;Parametri!$B$109-1+Parametri!$B$140),Parametri!$B$108,0)</f>
        <v>0</v>
      </c>
      <c r="Z9" s="37">
        <f>IF(B9&lt;10,Parametri!$B$52,IF(B9&lt;20,Parametri!$B$55,0))*M9*G9/1000</f>
        <v>5.1775889189653741</v>
      </c>
      <c r="AA9" s="38">
        <f>Parametri!$B$159*Parametri!$B$160</f>
        <v>0</v>
      </c>
      <c r="AB9" s="39">
        <f>SUM(Z$5:Z9)+SUM(AA$5:AA9)</f>
        <v>20.634265472578448</v>
      </c>
      <c r="AC9" s="40">
        <f>-(Parametri!$B$67*SUM(Z$5:Z9)+Parametri!$B$161*SUM(AA$5:AA9))</f>
        <v>-0.3095139820886767</v>
      </c>
      <c r="AD9" s="39">
        <f>0</f>
        <v>0</v>
      </c>
      <c r="AE9" s="41">
        <f t="shared" si="6"/>
        <v>16.354045499971875</v>
      </c>
      <c r="AF9" s="41">
        <f t="shared" si="9"/>
        <v>75.858058149447615</v>
      </c>
      <c r="AG9" s="42">
        <f t="shared" si="7"/>
        <v>-3.2846841035685324E-2</v>
      </c>
      <c r="AH9" s="139">
        <f>SUM(Z$5:Z9)</f>
        <v>20.634265472578448</v>
      </c>
      <c r="AI9" s="139">
        <v>0</v>
      </c>
    </row>
    <row r="10" spans="1:35" ht="15" customHeight="1" x14ac:dyDescent="0.2">
      <c r="A10" s="27">
        <f>Parametri!$B$6+B10</f>
        <v>2032</v>
      </c>
      <c r="B10" s="28">
        <v>5</v>
      </c>
      <c r="C10" s="29">
        <f>C9*(1+Parametri!$B$14)</f>
        <v>22.977076312677404</v>
      </c>
      <c r="D10" s="29">
        <f>D9*(1+Parametri!$B$15)+Parametri!$B$145*(1-Parametri!$B$15)^B9</f>
        <v>17.646882179705312</v>
      </c>
      <c r="E10" s="30">
        <f t="shared" si="0"/>
        <v>0.76802121991337935</v>
      </c>
      <c r="F10" s="31">
        <f>F9*(1+Parametri!$B$20)</f>
        <v>2327.9231793270624</v>
      </c>
      <c r="G10" s="32">
        <f>G9*(1+Parametri!$B$22)</f>
        <v>26968.070138136856</v>
      </c>
      <c r="H10" s="31">
        <f t="shared" si="1"/>
        <v>382.31661445102139</v>
      </c>
      <c r="I10" s="33">
        <f>IF(B10&lt;=(Parametri!$B$35-Parametri!$B$6),Parametri!$B$32+(Parametri!$B$33-Parametri!$B$32)*B10/(Parametri!$B$35-Parametri!$B$6),Parametri!$B$33+(Parametri!$B$34-Parametri!$B$33)*(B10-(Parametri!$B$35-Parametri!$B$6))/(Parametri!$B$36-Parametri!$B$35))</f>
        <v>0.16423076923076924</v>
      </c>
      <c r="J10" s="31">
        <f t="shared" si="2"/>
        <v>364.18668142616497</v>
      </c>
      <c r="K10" s="33">
        <f t="shared" si="3"/>
        <v>0.15644274031905175</v>
      </c>
      <c r="L10" s="33">
        <f>IF(B10&lt;=5,Parametri!$B$58+(Parametri!$B$59-Parametri!$B$58)/5*B10,MIN(Parametri!$B$60,Parametri!$B$59+(Parametri!$B$60-Parametri!$B$59)/24*(B10-5)))</f>
        <v>0.6</v>
      </c>
      <c r="M10" s="29">
        <f t="shared" si="4"/>
        <v>10.588129307823186</v>
      </c>
      <c r="N10" s="34">
        <f>IF(B10&lt;Parametri!$B$76,Parametri!$B$75*Parametri!$B$74*Parametri!$B$73/Parametri!$B$76,0)</f>
        <v>0</v>
      </c>
      <c r="O10" s="35">
        <f>IF(B10&lt;10,Parametri!$B$53,IF(B10&lt;20,Parametri!$B$56,Parametri!$B$57))*M10*G10*Parametri!$B$72/1000</f>
        <v>3.0838472690944121</v>
      </c>
      <c r="P10" s="35">
        <f>MIN(Parametri!$B$81+Parametri!$B$82,
Parametri!$B$81+Parametri!$B$82*(B10+1)/Parametri!$B$83)</f>
        <v>7.1</v>
      </c>
      <c r="Q10" s="35">
        <f>-IF(B10&lt;10,Parametri!$B$51,IF(B10&lt;20,Parametri!$B$54,Parametri!$B$57))*M10*G10/1000</f>
        <v>-17.132484828302289</v>
      </c>
      <c r="R10" s="35">
        <f t="shared" si="5"/>
        <v>11.421656552201526</v>
      </c>
      <c r="S10" s="35">
        <f t="shared" si="8"/>
        <v>52.690187497358423</v>
      </c>
      <c r="T10" s="36">
        <f>-(Parametri!$B$86*(Parametri!$B$87*Parametri!$B$90+Parametri!$B$88*Parametri!$B$91+Parametri!$B$89*Parametri!$B$92)/1000000000)*MIN(B10+1,Parametri!$B$93)</f>
        <v>-2.85975</v>
      </c>
      <c r="U10" s="36">
        <f>IF(B10&lt;Parametri!$B$125,Parametri!$B$46,IF(B10&lt;Parametri!$B$126,Parametri!$B$47,Parametri!$B$48))*Parametri!$B$96*13/1000000000*((B10+1)*Parametri!$B$121+B10*(B10+1)/2*Parametri!$B$122)</f>
        <v>9.0293696999999984</v>
      </c>
      <c r="V10" s="35">
        <f>IF(B10&gt;=Parametri!$B$103-1,Parametri!$B$102*(1-Parametri!$B$127)^(B10-(Parametri!$B$103-1)),0)</f>
        <v>5.5632990141937499</v>
      </c>
      <c r="W10" s="35">
        <f>IF(B10&gt;=Parametri!$B$105-1,Parametri!$B$104,0)</f>
        <v>5</v>
      </c>
      <c r="X10" s="35">
        <f>IF(B10&gt;=Parametri!$B$107-1,Parametri!$B$106+Parametri!$B$128*INT((B10-(Parametri!$B$107-1))/2),0)</f>
        <v>3.0300000000000002</v>
      </c>
      <c r="Y10" s="34">
        <f>IF(AND(B10&gt;=Parametri!$B$109-1,B10&lt;Parametri!$B$109-1+Parametri!$B$140),Parametri!$B$108,0)</f>
        <v>0</v>
      </c>
      <c r="Z10" s="37">
        <f>IF(B10&lt;10,Parametri!$B$52,IF(B10&lt;20,Parametri!$B$55,0))*M10*G10/1000</f>
        <v>5.7108282761007629</v>
      </c>
      <c r="AA10" s="38">
        <f>Parametri!$B$159*Parametri!$B$160</f>
        <v>0</v>
      </c>
      <c r="AB10" s="39">
        <f>SUM(Z$5:Z10)+SUM(AA$5:AA10)</f>
        <v>26.345093748679211</v>
      </c>
      <c r="AC10" s="40">
        <f>-(Parametri!$B$67*SUM(Z$5:Z10)+Parametri!$B$161*SUM(AA$5:AA10))</f>
        <v>-0.39517640623018818</v>
      </c>
      <c r="AD10" s="39">
        <f>0</f>
        <v>0</v>
      </c>
      <c r="AE10" s="41">
        <f t="shared" si="6"/>
        <v>18.129933024856449</v>
      </c>
      <c r="AF10" s="41">
        <f t="shared" si="9"/>
        <v>93.987991174304057</v>
      </c>
      <c r="AG10" s="42">
        <f t="shared" si="7"/>
        <v>-4.0374180732833873E-2</v>
      </c>
      <c r="AH10" s="139">
        <f>SUM(Z$5:Z10)</f>
        <v>26.345093748679211</v>
      </c>
      <c r="AI10" s="139">
        <v>0</v>
      </c>
    </row>
    <row r="11" spans="1:35" ht="15" customHeight="1" x14ac:dyDescent="0.2">
      <c r="A11" s="27">
        <f>Parametri!$B$6+B11</f>
        <v>2033</v>
      </c>
      <c r="B11" s="28">
        <v>6</v>
      </c>
      <c r="C11" s="29">
        <f>C10*(1+Parametri!$B$14)</f>
        <v>23.114938770553469</v>
      </c>
      <c r="D11" s="29">
        <f>D10*(1+Parametri!$B$15)+Parametri!$B$145*(1-Parametri!$B$15)^B10</f>
        <v>17.677576914169649</v>
      </c>
      <c r="E11" s="30">
        <f t="shared" si="0"/>
        <v>0.76476849407403269</v>
      </c>
      <c r="F11" s="31">
        <f>F10*(1+Parametri!$B$20)</f>
        <v>2346.5465647616788</v>
      </c>
      <c r="G11" s="32">
        <f>G10*(1+Parametri!$B$22)</f>
        <v>27022.00627841313</v>
      </c>
      <c r="H11" s="31">
        <f t="shared" si="1"/>
        <v>387.3606867675818</v>
      </c>
      <c r="I11" s="33">
        <f>IF(B11&lt;=(Parametri!$B$35-Parametri!$B$6),Parametri!$B$32+(Parametri!$B$33-Parametri!$B$32)*B11/(Parametri!$B$35-Parametri!$B$6),Parametri!$B$33+(Parametri!$B$34-Parametri!$B$33)*(B11-(Parametri!$B$35-Parametri!$B$6))/(Parametri!$B$36-Parametri!$B$35))</f>
        <v>0.16507692307692309</v>
      </c>
      <c r="J11" s="31">
        <f t="shared" si="2"/>
        <v>366.88949306559664</v>
      </c>
      <c r="K11" s="33">
        <f t="shared" si="3"/>
        <v>0.15635295654269654</v>
      </c>
      <c r="L11" s="33">
        <f>IF(B11&lt;=5,Parametri!$B$58+(Parametri!$B$59-Parametri!$B$58)/5*B11,MIN(Parametri!$B$60,Parametri!$B$59+(Parametri!$B$60-Parametri!$B$59)/24*(B11-5)))</f>
        <v>0.6166666666666667</v>
      </c>
      <c r="M11" s="29">
        <f t="shared" si="4"/>
        <v>10.901172430404618</v>
      </c>
      <c r="N11" s="34">
        <f>IF(B11&lt;Parametri!$B$76,Parametri!$B$75*Parametri!$B$74*Parametri!$B$73/Parametri!$B$76,0)</f>
        <v>0</v>
      </c>
      <c r="O11" s="35">
        <f>IF(B11&lt;10,Parametri!$B$53,IF(B11&lt;20,Parametri!$B$56,Parametri!$B$57))*M11*G11*Parametri!$B$72/1000</f>
        <v>3.1813727384497432</v>
      </c>
      <c r="P11" s="35">
        <f>MIN(Parametri!$B$81+Parametri!$B$82,
Parametri!$B$81+Parametri!$B$82*(B11+1)/Parametri!$B$83)</f>
        <v>7.7</v>
      </c>
      <c r="Q11" s="35">
        <f>-IF(B11&lt;10,Parametri!$B$51,IF(B11&lt;20,Parametri!$B$54,Parametri!$B$57))*M11*G11/1000</f>
        <v>-17.67429299138746</v>
      </c>
      <c r="R11" s="35">
        <f t="shared" si="5"/>
        <v>11.782861994258306</v>
      </c>
      <c r="S11" s="35">
        <f t="shared" si="8"/>
        <v>64.473049491616734</v>
      </c>
      <c r="T11" s="36">
        <f>-(Parametri!$B$86*(Parametri!$B$87*Parametri!$B$90+Parametri!$B$88*Parametri!$B$91+Parametri!$B$89*Parametri!$B$92)/1000000000)*MIN(B11+1,Parametri!$B$93)</f>
        <v>-2.85975</v>
      </c>
      <c r="U11" s="36">
        <f>IF(B11&lt;Parametri!$B$125,Parametri!$B$46,IF(B11&lt;Parametri!$B$126,Parametri!$B$47,Parametri!$B$48))*Parametri!$B$96*13/1000000000*((B11+1)*Parametri!$B$121+B11*(B11+1)/2*Parametri!$B$122)</f>
        <v>11.206131300000001</v>
      </c>
      <c r="V11" s="35">
        <f>IF(B11&gt;=Parametri!$B$103-1,Parametri!$B$102*(1-Parametri!$B$127)^(B11-(Parametri!$B$103-1)),0)</f>
        <v>5.4798495289808438</v>
      </c>
      <c r="W11" s="35">
        <f>IF(B11&gt;=Parametri!$B$105-1,Parametri!$B$104,0)</f>
        <v>5</v>
      </c>
      <c r="X11" s="35">
        <f>IF(B11&gt;=Parametri!$B$107-1,Parametri!$B$106+Parametri!$B$128*INT((B11-(Parametri!$B$107-1))/2),0)</f>
        <v>3.0300000000000002</v>
      </c>
      <c r="Y11" s="34">
        <f>IF(AND(B11&gt;=Parametri!$B$109-1,B11&lt;Parametri!$B$109-1+Parametri!$B$140),Parametri!$B$108,0)</f>
        <v>0</v>
      </c>
      <c r="Z11" s="37">
        <f>IF(B11&lt;10,Parametri!$B$52,IF(B11&lt;20,Parametri!$B$55,0))*M11*G11/1000</f>
        <v>5.8914309971291541</v>
      </c>
      <c r="AA11" s="38">
        <f>Parametri!$B$159*Parametri!$B$160</f>
        <v>0</v>
      </c>
      <c r="AB11" s="39">
        <f>SUM(Z$5:Z11)+SUM(AA$5:AA11)</f>
        <v>32.236524745808367</v>
      </c>
      <c r="AC11" s="40">
        <f>-(Parametri!$B$67*SUM(Z$5:Z11)+Parametri!$B$161*SUM(AA$5:AA11))</f>
        <v>-0.4835478711871255</v>
      </c>
      <c r="AD11" s="39">
        <f>0</f>
        <v>0</v>
      </c>
      <c r="AE11" s="41">
        <f t="shared" si="6"/>
        <v>20.471193701985158</v>
      </c>
      <c r="AF11" s="41">
        <f t="shared" si="9"/>
        <v>114.45918487628921</v>
      </c>
      <c r="AG11" s="42">
        <f t="shared" si="7"/>
        <v>-4.8777717261244281E-2</v>
      </c>
      <c r="AH11" s="139">
        <f>SUM(Z$5:Z11)</f>
        <v>32.236524745808367</v>
      </c>
      <c r="AI11" s="139">
        <v>0</v>
      </c>
    </row>
    <row r="12" spans="1:35" ht="15" customHeight="1" x14ac:dyDescent="0.2">
      <c r="A12" s="27">
        <f>Parametri!$B$6+B12</f>
        <v>2034</v>
      </c>
      <c r="B12" s="28">
        <v>7</v>
      </c>
      <c r="C12" s="29">
        <f>C11*(1+Parametri!$B$14)</f>
        <v>23.253628403176791</v>
      </c>
      <c r="D12" s="29">
        <f>D11*(1+Parametri!$B$15)+Parametri!$B$145*(1-Parametri!$B$15)^B11</f>
        <v>17.708712820688476</v>
      </c>
      <c r="E12" s="30">
        <f t="shared" si="0"/>
        <v>0.76154622038551212</v>
      </c>
      <c r="F12" s="31">
        <f>F11*(1+Parametri!$B$20)</f>
        <v>2365.3189372797724</v>
      </c>
      <c r="G12" s="32">
        <f>G11*(1+Parametri!$B$22)</f>
        <v>27076.050290969957</v>
      </c>
      <c r="H12" s="31">
        <f t="shared" si="1"/>
        <v>392.46099597788225</v>
      </c>
      <c r="I12" s="33">
        <f>IF(B12&lt;=(Parametri!$B$35-Parametri!$B$6),Parametri!$B$32+(Parametri!$B$33-Parametri!$B$32)*B12/(Parametri!$B$35-Parametri!$B$6),Parametri!$B$33+(Parametri!$B$34-Parametri!$B$33)*(B12-(Parametri!$B$35-Parametri!$B$6))/(Parametri!$B$36-Parametri!$B$35))</f>
        <v>0.16592307692307692</v>
      </c>
      <c r="J12" s="31">
        <f t="shared" si="2"/>
        <v>369.32010927620297</v>
      </c>
      <c r="K12" s="33">
        <f t="shared" si="3"/>
        <v>0.15613966618004521</v>
      </c>
      <c r="L12" s="33">
        <f>IF(B12&lt;=5,Parametri!$B$58+(Parametri!$B$59-Parametri!$B$58)/5*B12,MIN(Parametri!$B$60,Parametri!$B$59+(Parametri!$B$60-Parametri!$B$59)/24*(B12-5)))</f>
        <v>0.6333333333333333</v>
      </c>
      <c r="M12" s="29">
        <f t="shared" si="4"/>
        <v>11.215518119769367</v>
      </c>
      <c r="N12" s="34">
        <f>IF(B12&lt;Parametri!$B$76,Parametri!$B$75*Parametri!$B$74*Parametri!$B$73/Parametri!$B$76,0)</f>
        <v>0</v>
      </c>
      <c r="O12" s="35">
        <f>IF(B12&lt;10,Parametri!$B$53,IF(B12&lt;20,Parametri!$B$56,Parametri!$B$57))*M12*G12*Parametri!$B$72/1000</f>
        <v>3.2796568726217306</v>
      </c>
      <c r="P12" s="35">
        <f>MIN(Parametri!$B$81+Parametri!$B$82,
Parametri!$B$81+Parametri!$B$82*(B12+1)/Parametri!$B$83)</f>
        <v>8.3000000000000007</v>
      </c>
      <c r="Q12" s="35">
        <f>-IF(B12&lt;10,Parametri!$B$51,IF(B12&lt;20,Parametri!$B$54,Parametri!$B$57))*M12*G12/1000</f>
        <v>-18.220315959009611</v>
      </c>
      <c r="R12" s="35">
        <f t="shared" si="5"/>
        <v>12.146877306006406</v>
      </c>
      <c r="S12" s="35">
        <f t="shared" si="8"/>
        <v>76.619926797623137</v>
      </c>
      <c r="T12" s="36">
        <f>-(Parametri!$B$86*(Parametri!$B$87*Parametri!$B$90+Parametri!$B$88*Parametri!$B$91+Parametri!$B$89*Parametri!$B$92)/1000000000)*MIN(B12+1,Parametri!$B$93)</f>
        <v>-2.85975</v>
      </c>
      <c r="U12" s="36">
        <f>IF(B12&lt;Parametri!$B$125,Parametri!$B$46,IF(B12&lt;Parametri!$B$126,Parametri!$B$47,Parametri!$B$48))*Parametri!$B$96*13/1000000000*((B12+1)*Parametri!$B$121+B12*(B12+1)/2*Parametri!$B$122)</f>
        <v>13.574854799999997</v>
      </c>
      <c r="V12" s="35">
        <f>IF(B12&gt;=Parametri!$B$103-1,Parametri!$B$102*(1-Parametri!$B$127)^(B12-(Parametri!$B$103-1)),0)</f>
        <v>5.3976517860461311</v>
      </c>
      <c r="W12" s="35">
        <f>IF(B12&gt;=Parametri!$B$105-1,Parametri!$B$104,0)</f>
        <v>5</v>
      </c>
      <c r="X12" s="35">
        <f>IF(B12&gt;=Parametri!$B$107-1,Parametri!$B$106+Parametri!$B$128*INT((B12-(Parametri!$B$107-1))/2),0)</f>
        <v>3.17</v>
      </c>
      <c r="Y12" s="34">
        <f>IF(AND(B12&gt;=Parametri!$B$109-1,B12&lt;Parametri!$B$109-1+Parametri!$B$140),Parametri!$B$108,0)</f>
        <v>0</v>
      </c>
      <c r="Z12" s="37">
        <f>IF(B12&lt;10,Parametri!$B$52,IF(B12&lt;20,Parametri!$B$55,0))*M12*G12/1000</f>
        <v>6.0734386530032047</v>
      </c>
      <c r="AA12" s="38">
        <f>Parametri!$B$159*Parametri!$B$160</f>
        <v>0</v>
      </c>
      <c r="AB12" s="39">
        <f>SUM(Z$5:Z12)+SUM(AA$5:AA12)</f>
        <v>38.309963398811576</v>
      </c>
      <c r="AC12" s="40">
        <f>-(Parametri!$B$67*SUM(Z$5:Z12)+Parametri!$B$161*SUM(AA$5:AA12))</f>
        <v>-0.57464945098217357</v>
      </c>
      <c r="AD12" s="39">
        <f>0</f>
        <v>0</v>
      </c>
      <c r="AE12" s="41">
        <f t="shared" si="6"/>
        <v>23.140886701679275</v>
      </c>
      <c r="AF12" s="41">
        <f t="shared" si="9"/>
        <v>137.60007157796849</v>
      </c>
      <c r="AG12" s="42">
        <f t="shared" si="7"/>
        <v>-5.8174003264107384E-2</v>
      </c>
      <c r="AH12" s="139">
        <f>SUM(Z$5:Z12)</f>
        <v>38.309963398811576</v>
      </c>
      <c r="AI12" s="139">
        <v>0</v>
      </c>
    </row>
    <row r="13" spans="1:35" ht="15" customHeight="1" x14ac:dyDescent="0.2">
      <c r="A13" s="27">
        <f>Parametri!$B$6+B13</f>
        <v>2035</v>
      </c>
      <c r="B13" s="28">
        <v>8</v>
      </c>
      <c r="C13" s="29">
        <f>C12*(1+Parametri!$B$14)</f>
        <v>23.393150173595853</v>
      </c>
      <c r="D13" s="29">
        <f>D12*(1+Parametri!$B$15)+Parametri!$B$145*(1-Parametri!$B$15)^B12</f>
        <v>17.740290666630159</v>
      </c>
      <c r="E13" s="30">
        <f t="shared" si="0"/>
        <v>0.75835407095594387</v>
      </c>
      <c r="F13" s="31">
        <f>F12*(1+Parametri!$B$20)</f>
        <v>2384.2414887780105</v>
      </c>
      <c r="G13" s="32">
        <f>G12*(1+Parametri!$B$22)</f>
        <v>27130.202391551898</v>
      </c>
      <c r="H13" s="31">
        <f t="shared" si="1"/>
        <v>397.61811905159442</v>
      </c>
      <c r="I13" s="33">
        <f>IF(B13&lt;=(Parametri!$B$35-Parametri!$B$6),Parametri!$B$32+(Parametri!$B$33-Parametri!$B$32)*B13/(Parametri!$B$35-Parametri!$B$6),Parametri!$B$33+(Parametri!$B$34-Parametri!$B$33)*(B13-(Parametri!$B$35-Parametri!$B$6))/(Parametri!$B$36-Parametri!$B$35))</f>
        <v>0.16676923076923078</v>
      </c>
      <c r="J13" s="31">
        <f t="shared" si="2"/>
        <v>371.75917423581058</v>
      </c>
      <c r="K13" s="33">
        <f t="shared" si="3"/>
        <v>0.15592345657333032</v>
      </c>
      <c r="L13" s="33">
        <f>IF(B13&lt;=5,Parametri!$B$58+(Parametri!$B$59-Parametri!$B$58)/5*B13,MIN(Parametri!$B$60,Parametri!$B$59+(Parametri!$B$60-Parametri!$B$59)/24*(B13-5)))</f>
        <v>0.65</v>
      </c>
      <c r="M13" s="29">
        <f t="shared" si="4"/>
        <v>11.531188933309604</v>
      </c>
      <c r="N13" s="34">
        <f>IF(B13&lt;Parametri!$B$76,Parametri!$B$75*Parametri!$B$74*Parametri!$B$73/Parametri!$B$76,0)</f>
        <v>0</v>
      </c>
      <c r="O13" s="35">
        <f>IF(B13&lt;10,Parametri!$B$53,IF(B13&lt;20,Parametri!$B$56,Parametri!$B$57))*M13*G13*Parametri!$B$72/1000</f>
        <v>3.3787096874198603</v>
      </c>
      <c r="P13" s="35">
        <f>MIN(Parametri!$B$81+Parametri!$B$82,
Parametri!$B$81+Parametri!$B$82*(B13+1)/Parametri!$B$83)</f>
        <v>8.9</v>
      </c>
      <c r="Q13" s="35">
        <f>-IF(B13&lt;10,Parametri!$B$51,IF(B13&lt;20,Parametri!$B$54,Parametri!$B$57))*M13*G13/1000</f>
        <v>-18.77060937455478</v>
      </c>
      <c r="R13" s="35">
        <f t="shared" si="5"/>
        <v>12.513739583036521</v>
      </c>
      <c r="S13" s="35">
        <f t="shared" si="8"/>
        <v>89.133666380659662</v>
      </c>
      <c r="T13" s="36">
        <f>-(Parametri!$B$86*(Parametri!$B$87*Parametri!$B$90+Parametri!$B$88*Parametri!$B$91+Parametri!$B$89*Parametri!$B$92)/1000000000)*MIN(B13+1,Parametri!$B$93)</f>
        <v>-2.85975</v>
      </c>
      <c r="U13" s="36">
        <f>IF(B13&lt;Parametri!$B$125,Parametri!$B$46,IF(B13&lt;Parametri!$B$126,Parametri!$B$47,Parametri!$B$48))*Parametri!$B$96*13/1000000000*((B13+1)*Parametri!$B$121+B13*(B13+1)/2*Parametri!$B$122)</f>
        <v>16.135540199999998</v>
      </c>
      <c r="V13" s="35">
        <f>IF(B13&gt;=Parametri!$B$103-1,Parametri!$B$102*(1-Parametri!$B$127)^(B13-(Parametri!$B$103-1)),0)</f>
        <v>5.316687009255439</v>
      </c>
      <c r="W13" s="35">
        <f>IF(B13&gt;=Parametri!$B$105-1,Parametri!$B$104,0)</f>
        <v>5</v>
      </c>
      <c r="X13" s="35">
        <f>IF(B13&gt;=Parametri!$B$107-1,Parametri!$B$106+Parametri!$B$128*INT((B13-(Parametri!$B$107-1))/2),0)</f>
        <v>3.17</v>
      </c>
      <c r="Y13" s="34">
        <f>IF(AND(B13&gt;=Parametri!$B$109-1,B13&lt;Parametri!$B$109-1+Parametri!$B$140),Parametri!$B$108,0)</f>
        <v>0</v>
      </c>
      <c r="Z13" s="37">
        <f>IF(B13&lt;10,Parametri!$B$52,IF(B13&lt;20,Parametri!$B$55,0))*M13*G13/1000</f>
        <v>6.2568697915182598</v>
      </c>
      <c r="AA13" s="38">
        <f>Parametri!$B$159*Parametri!$B$160</f>
        <v>0</v>
      </c>
      <c r="AB13" s="39">
        <f>SUM(Z$5:Z13)+SUM(AA$5:AA13)</f>
        <v>44.566833190329838</v>
      </c>
      <c r="AC13" s="40">
        <f>-(Parametri!$B$67*SUM(Z$5:Z13)+Parametri!$B$161*SUM(AA$5:AA13))</f>
        <v>-0.66850249785494753</v>
      </c>
      <c r="AD13" s="39">
        <f>0</f>
        <v>0</v>
      </c>
      <c r="AE13" s="41">
        <f t="shared" si="6"/>
        <v>25.858944815783826</v>
      </c>
      <c r="AF13" s="41">
        <f t="shared" si="9"/>
        <v>163.45901639375231</v>
      </c>
      <c r="AG13" s="42">
        <f t="shared" si="7"/>
        <v>-6.8558079021403803E-2</v>
      </c>
      <c r="AH13" s="139">
        <f>SUM(Z$5:Z13)</f>
        <v>44.566833190329838</v>
      </c>
      <c r="AI13" s="139">
        <v>0</v>
      </c>
    </row>
    <row r="14" spans="1:35" ht="15" customHeight="1" x14ac:dyDescent="0.2">
      <c r="A14" s="27">
        <f>Parametri!$B$6+B14</f>
        <v>2036</v>
      </c>
      <c r="B14" s="28">
        <v>9</v>
      </c>
      <c r="C14" s="29">
        <f>C13*(1+Parametri!$B$14)</f>
        <v>23.533509074637429</v>
      </c>
      <c r="D14" s="29">
        <f>D13*(1+Parametri!$B$15)+Parametri!$B$145*(1-Parametri!$B$15)^B13</f>
        <v>17.772311230392358</v>
      </c>
      <c r="E14" s="30">
        <f t="shared" si="0"/>
        <v>0.75519172147369906</v>
      </c>
      <c r="F14" s="31">
        <f>F13*(1+Parametri!$B$20)</f>
        <v>2403.3154206882346</v>
      </c>
      <c r="G14" s="32">
        <f>G13*(1+Parametri!$B$22)</f>
        <v>27184.462796335003</v>
      </c>
      <c r="H14" s="31">
        <f t="shared" si="1"/>
        <v>402.83263859074339</v>
      </c>
      <c r="I14" s="33">
        <f>IF(B14&lt;=(Parametri!$B$35-Parametri!$B$6),Parametri!$B$32+(Parametri!$B$33-Parametri!$B$32)*B14/(Parametri!$B$35-Parametri!$B$6),Parametri!$B$33+(Parametri!$B$34-Parametri!$B$33)*(B14-(Parametri!$B$35-Parametri!$B$6))/(Parametri!$B$36-Parametri!$B$35))</f>
        <v>0.16761538461538464</v>
      </c>
      <c r="J14" s="31">
        <f t="shared" si="2"/>
        <v>373.92733797561567</v>
      </c>
      <c r="K14" s="33">
        <f t="shared" si="3"/>
        <v>0.15558812412085907</v>
      </c>
      <c r="L14" s="33">
        <f>IF(B14&lt;=5,Parametri!$B$58+(Parametri!$B$59-Parametri!$B$58)/5*B14,MIN(Parametri!$B$60,Parametri!$B$59+(Parametri!$B$60-Parametri!$B$59)/24*(B14-5)))</f>
        <v>0.66666666666666663</v>
      </c>
      <c r="M14" s="29">
        <f t="shared" si="4"/>
        <v>11.848207486928239</v>
      </c>
      <c r="N14" s="34">
        <f>IF(B14&lt;Parametri!$B$76,Parametri!$B$75*Parametri!$B$74*Parametri!$B$73/Parametri!$B$76,0)</f>
        <v>0</v>
      </c>
      <c r="O14" s="35">
        <f>IF(B14&lt;10,Parametri!$B$53,IF(B14&lt;20,Parametri!$B$56,Parametri!$B$57))*M14*G14*Parametri!$B$72/1000</f>
        <v>3.4785412808219127</v>
      </c>
      <c r="P14" s="35">
        <f>MIN(Parametri!$B$81+Parametri!$B$82,
Parametri!$B$81+Parametri!$B$82*(B14+1)/Parametri!$B$83)</f>
        <v>9.5</v>
      </c>
      <c r="Q14" s="35">
        <f>-IF(B14&lt;10,Parametri!$B$51,IF(B14&lt;20,Parametri!$B$54,Parametri!$B$57))*M14*G14/1000</f>
        <v>-19.325229337899511</v>
      </c>
      <c r="R14" s="35">
        <f t="shared" si="5"/>
        <v>12.88348622526634</v>
      </c>
      <c r="S14" s="35">
        <f t="shared" si="8"/>
        <v>102.017152605926</v>
      </c>
      <c r="T14" s="36">
        <f>-(Parametri!$B$86*(Parametri!$B$87*Parametri!$B$90+Parametri!$B$88*Parametri!$B$91+Parametri!$B$89*Parametri!$B$92)/1000000000)*MIN(B14+1,Parametri!$B$93)</f>
        <v>-2.85975</v>
      </c>
      <c r="U14" s="36">
        <f>IF(B14&lt;Parametri!$B$125,Parametri!$B$46,IF(B14&lt;Parametri!$B$126,Parametri!$B$47,Parametri!$B$48))*Parametri!$B$96*13/1000000000*((B14+1)*Parametri!$B$121+B14*(B14+1)/2*Parametri!$B$122)</f>
        <v>18.888187499999997</v>
      </c>
      <c r="V14" s="35">
        <f>IF(B14&gt;=Parametri!$B$103-1,Parametri!$B$102*(1-Parametri!$B$127)^(B14-(Parametri!$B$103-1)),0)</f>
        <v>5.2369367041166077</v>
      </c>
      <c r="W14" s="35">
        <f>IF(B14&gt;=Parametri!$B$105-1,Parametri!$B$104,0)</f>
        <v>5</v>
      </c>
      <c r="X14" s="35">
        <f>IF(B14&gt;=Parametri!$B$107-1,Parametri!$B$106+Parametri!$B$128*INT((B14-(Parametri!$B$107-1))/2),0)</f>
        <v>3.31</v>
      </c>
      <c r="Y14" s="34">
        <f>IF(AND(B14&gt;=Parametri!$B$109-1,B14&lt;Parametri!$B$109-1+Parametri!$B$140),Parametri!$B$108,0)</f>
        <v>0</v>
      </c>
      <c r="Z14" s="37">
        <f>IF(B14&lt;10,Parametri!$B$52,IF(B14&lt;20,Parametri!$B$55,0))*M14*G14/1000</f>
        <v>6.441743112633171</v>
      </c>
      <c r="AA14" s="38">
        <f>Parametri!$B$159*Parametri!$B$160</f>
        <v>0</v>
      </c>
      <c r="AB14" s="39">
        <f>SUM(Z$5:Z14)+SUM(AA$5:AA14)</f>
        <v>51.008576302963007</v>
      </c>
      <c r="AC14" s="40">
        <f>-(Parametri!$B$67*SUM(Z$5:Z14)+Parametri!$B$161*SUM(AA$5:AA14))</f>
        <v>-0.76512864454444507</v>
      </c>
      <c r="AD14" s="39">
        <f>0</f>
        <v>0</v>
      </c>
      <c r="AE14" s="41">
        <f t="shared" si="6"/>
        <v>28.905300615127736</v>
      </c>
      <c r="AF14" s="41">
        <f t="shared" si="9"/>
        <v>192.36431700888005</v>
      </c>
      <c r="AG14" s="42">
        <f t="shared" si="7"/>
        <v>-8.0041227777664287E-2</v>
      </c>
      <c r="AH14" s="139">
        <f>SUM(Z$5:Z14)</f>
        <v>51.008576302963007</v>
      </c>
      <c r="AI14" s="139">
        <v>0</v>
      </c>
    </row>
    <row r="15" spans="1:35" ht="15" customHeight="1" x14ac:dyDescent="0.2">
      <c r="A15" s="27">
        <f>Parametri!$B$6+B15</f>
        <v>2037</v>
      </c>
      <c r="B15" s="28">
        <v>10</v>
      </c>
      <c r="C15" s="29">
        <f>C14*(1+Parametri!$B$14)</f>
        <v>23.674710129085256</v>
      </c>
      <c r="D15" s="29">
        <f>D14*(1+Parametri!$B$15)+Parametri!$B$145*(1-Parametri!$B$15)^B14</f>
        <v>17.804775301421223</v>
      </c>
      <c r="E15" s="30">
        <f t="shared" si="0"/>
        <v>0.75205885116825144</v>
      </c>
      <c r="F15" s="31">
        <f>F14*(1+Parametri!$B$20)</f>
        <v>2422.5419440537403</v>
      </c>
      <c r="G15" s="32">
        <f>G14*(1+Parametri!$B$22)</f>
        <v>27238.831721927672</v>
      </c>
      <c r="H15" s="31">
        <f t="shared" si="1"/>
        <v>408.10514288289932</v>
      </c>
      <c r="I15" s="33">
        <f>IF(B15&lt;=(Parametri!$B$35-Parametri!$B$6),Parametri!$B$32+(Parametri!$B$33-Parametri!$B$32)*B15/(Parametri!$B$35-Parametri!$B$6),Parametri!$B$33+(Parametri!$B$34-Parametri!$B$33)*(B15-(Parametri!$B$35-Parametri!$B$6))/(Parametri!$B$36-Parametri!$B$35))</f>
        <v>0.16846153846153847</v>
      </c>
      <c r="J15" s="31">
        <f t="shared" si="2"/>
        <v>380.9437529949214</v>
      </c>
      <c r="K15" s="33">
        <f t="shared" si="3"/>
        <v>0.15724960054044404</v>
      </c>
      <c r="L15" s="33">
        <f>IF(B15&lt;=5,Parametri!$B$58+(Parametri!$B$59-Parametri!$B$58)/5*B15,MIN(Parametri!$B$60,Parametri!$B$59+(Parametri!$B$60-Parametri!$B$59)/24*(B15-5)))</f>
        <v>0.68333333333333335</v>
      </c>
      <c r="M15" s="29">
        <f t="shared" si="4"/>
        <v>12.16659645597117</v>
      </c>
      <c r="N15" s="34">
        <f>IF(B15&lt;Parametri!$B$76,Parametri!$B$75*Parametri!$B$74*Parametri!$B$73/Parametri!$B$76,0)</f>
        <v>0</v>
      </c>
      <c r="O15" s="35">
        <f>IF(B15&lt;10,Parametri!$B$53,IF(B15&lt;20,Parametri!$B$56,Parametri!$B$57))*M15*G15*Parametri!$B$72/1000</f>
        <v>5.3687427505833654</v>
      </c>
      <c r="P15" s="35">
        <f>MIN(Parametri!$B$81+Parametri!$B$82,
Parametri!$B$81+Parametri!$B$82*(B15+1)/Parametri!$B$83)</f>
        <v>10.1</v>
      </c>
      <c r="Q15" s="35">
        <f>-IF(B15&lt;10,Parametri!$B$51,IF(B15&lt;20,Parametri!$B$54,Parametri!$B$57))*M15*G15/1000</f>
        <v>-26.512309879424024</v>
      </c>
      <c r="R15" s="35">
        <f t="shared" si="5"/>
        <v>19.884232409568018</v>
      </c>
      <c r="S15" s="35">
        <f t="shared" si="8"/>
        <v>121.90138501549401</v>
      </c>
      <c r="T15" s="36">
        <f>-(Parametri!$B$86*(Parametri!$B$87*Parametri!$B$90+Parametri!$B$88*Parametri!$B$91+Parametri!$B$89*Parametri!$B$92)/1000000000)*MIN(B15+1,Parametri!$B$93)</f>
        <v>-2.85975</v>
      </c>
      <c r="U15" s="36">
        <f>IF(B15&lt;Parametri!$B$125,Parametri!$B$46,IF(B15&lt;Parametri!$B$126,Parametri!$B$47,Parametri!$B$48))*Parametri!$B$96*13/1000000000*((B15+1)*Parametri!$B$121+B15*(B15+1)/2*Parametri!$B$122)</f>
        <v>21.832796699999996</v>
      </c>
      <c r="V15" s="35">
        <f>IF(B15&gt;=Parametri!$B$103-1,Parametri!$B$102*(1-Parametri!$B$127)^(B15-(Parametri!$B$103-1)),0)</f>
        <v>5.1583826535548587</v>
      </c>
      <c r="W15" s="35">
        <f>IF(B15&gt;=Parametri!$B$105-1,Parametri!$B$104,0)</f>
        <v>5</v>
      </c>
      <c r="X15" s="35">
        <f>IF(B15&gt;=Parametri!$B$107-1,Parametri!$B$106+Parametri!$B$128*INT((B15-(Parametri!$B$107-1))/2),0)</f>
        <v>3.31</v>
      </c>
      <c r="Y15" s="34">
        <f>IF(AND(B15&gt;=Parametri!$B$109-1,B15&lt;Parametri!$B$109-1+Parametri!$B$140),Parametri!$B$108,0)</f>
        <v>0</v>
      </c>
      <c r="Z15" s="37">
        <f>IF(B15&lt;10,Parametri!$B$52,IF(B15&lt;20,Parametri!$B$55,0))*M15*G15/1000</f>
        <v>6.6280774698560059</v>
      </c>
      <c r="AA15" s="38">
        <f>Parametri!$B$159*Parametri!$B$160</f>
        <v>0</v>
      </c>
      <c r="AB15" s="39">
        <f>SUM(Z$5:Z15)+SUM(AA$5:AA15)</f>
        <v>57.636653772819017</v>
      </c>
      <c r="AC15" s="40">
        <f>-(Parametri!$B$67*SUM(Z$5:Z15)+Parametri!$B$161*SUM(AA$5:AA15))</f>
        <v>-0.8645498065922852</v>
      </c>
      <c r="AD15" s="39">
        <f>0</f>
        <v>0</v>
      </c>
      <c r="AE15" s="41">
        <f t="shared" si="6"/>
        <v>27.161389887977911</v>
      </c>
      <c r="AF15" s="41">
        <f t="shared" si="9"/>
        <v>219.52570689685797</v>
      </c>
      <c r="AG15" s="42">
        <f t="shared" si="7"/>
        <v>-9.0617917859253438E-2</v>
      </c>
      <c r="AH15" s="139">
        <f>SUM(Z$5:Z15)</f>
        <v>57.636653772819017</v>
      </c>
      <c r="AI15" s="139">
        <v>0</v>
      </c>
    </row>
    <row r="16" spans="1:35" ht="15" customHeight="1" x14ac:dyDescent="0.2">
      <c r="A16" s="27">
        <f>Parametri!$B$6+B16</f>
        <v>2038</v>
      </c>
      <c r="B16" s="28">
        <v>11</v>
      </c>
      <c r="C16" s="29">
        <f>C15*(1+Parametri!$B$14)</f>
        <v>23.816758389859768</v>
      </c>
      <c r="D16" s="29">
        <f>D15*(1+Parametri!$B$15)+Parametri!$B$145*(1-Parametri!$B$15)^B15</f>
        <v>17.83768368023085</v>
      </c>
      <c r="E16" s="30">
        <f t="shared" si="0"/>
        <v>0.74895514277146247</v>
      </c>
      <c r="F16" s="31">
        <f>F15*(1+Parametri!$B$20)</f>
        <v>2441.9222796061704</v>
      </c>
      <c r="G16" s="32">
        <f>G15*(1+Parametri!$B$22)</f>
        <v>27293.309385371529</v>
      </c>
      <c r="H16" s="31">
        <f t="shared" si="1"/>
        <v>413.43622595486011</v>
      </c>
      <c r="I16" s="43">
        <f>IF(B16&lt;=(Parametri!$B$35-Parametri!$B$6),Parametri!$B$32+(Parametri!$B$33-Parametri!$B$32)*B16/(Parametri!$B$35-Parametri!$B$6),Parametri!$B$33+(Parametri!$B$34-Parametri!$B$33)*(B16-(Parametri!$B$35-Parametri!$B$6))/(Parametri!$B$36-Parametri!$B$35))</f>
        <v>0.16930769230769233</v>
      </c>
      <c r="J16" s="31">
        <f t="shared" si="2"/>
        <v>387.98306618466938</v>
      </c>
      <c r="K16" s="43">
        <f t="shared" si="3"/>
        <v>0.15888428121768181</v>
      </c>
      <c r="L16" s="33">
        <f>IF(B16&lt;=5,Parametri!$B$58+(Parametri!$B$59-Parametri!$B$58)/5*B16,MIN(Parametri!$B$60,Parametri!$B$59+(Parametri!$B$60-Parametri!$B$59)/24*(B16-5)))</f>
        <v>0.7</v>
      </c>
      <c r="M16" s="29">
        <f t="shared" si="4"/>
        <v>12.486378576161593</v>
      </c>
      <c r="N16" s="34">
        <f>IF(B16&lt;Parametri!$B$76,Parametri!$B$75*Parametri!$B$74*Parametri!$B$73/Parametri!$B$76,0)</f>
        <v>0</v>
      </c>
      <c r="O16" s="35">
        <f>IF(B16&lt;10,Parametri!$B$53,IF(B16&lt;20,Parametri!$B$56,Parametri!$B$57))*M16*G16*Parametri!$B$72/1000</f>
        <v>5.5208724160292624</v>
      </c>
      <c r="P16" s="35">
        <f>MIN(Parametri!$B$81+Parametri!$B$82,
Parametri!$B$81+Parametri!$B$82*(B16+1)/Parametri!$B$83)</f>
        <v>10.7</v>
      </c>
      <c r="Q16" s="35">
        <f>-IF(B16&lt;10,Parametri!$B$51,IF(B16&lt;20,Parametri!$B$54,Parametri!$B$57))*M16*G16/1000</f>
        <v>-27.263567486564259</v>
      </c>
      <c r="R16" s="35">
        <f t="shared" si="5"/>
        <v>20.447675614923195</v>
      </c>
      <c r="S16" s="35">
        <f t="shared" si="8"/>
        <v>142.3490606304172</v>
      </c>
      <c r="T16" s="36">
        <f>-(Parametri!$B$86*(Parametri!$B$87*Parametri!$B$90+Parametri!$B$88*Parametri!$B$91+Parametri!$B$89*Parametri!$B$92)/1000000000)*MIN(B16+1,Parametri!$B$93)</f>
        <v>-2.85975</v>
      </c>
      <c r="U16" s="36">
        <f>IF(B16&lt;Parametri!$B$125,Parametri!$B$46,IF(B16&lt;Parametri!$B$126,Parametri!$B$47,Parametri!$B$48))*Parametri!$B$96*13/1000000000*((B16+1)*Parametri!$B$121+B16*(B16+1)/2*Parametri!$B$122)</f>
        <v>19.97549424</v>
      </c>
      <c r="V16" s="35">
        <f>IF(B16&gt;=Parametri!$B$103-1,Parametri!$B$102*(1-Parametri!$B$127)^(B16-(Parametri!$B$103-1)),0)</f>
        <v>5.0810069137515361</v>
      </c>
      <c r="W16" s="35">
        <f>IF(B16&gt;=Parametri!$B$105-1,Parametri!$B$104,0)</f>
        <v>5</v>
      </c>
      <c r="X16" s="35">
        <f>IF(B16&gt;=Parametri!$B$107-1,Parametri!$B$106+Parametri!$B$128*INT((B16-(Parametri!$B$107-1))/2),0)</f>
        <v>3.45</v>
      </c>
      <c r="Y16" s="34">
        <f>IF(AND(B16&gt;=Parametri!$B$109-1,B16&lt;Parametri!$B$109-1+Parametri!$B$140),Parametri!$B$108,0)</f>
        <v>0</v>
      </c>
      <c r="Z16" s="37">
        <f>IF(B16&lt;10,Parametri!$B$52,IF(B16&lt;20,Parametri!$B$55,0))*M16*G16/1000</f>
        <v>6.8158918716410648</v>
      </c>
      <c r="AA16" s="38">
        <f>Parametri!$B$159*Parametri!$B$160</f>
        <v>0</v>
      </c>
      <c r="AB16" s="39">
        <f>SUM(Z$5:Z16)+SUM(AA$5:AA16)</f>
        <v>64.452545644460088</v>
      </c>
      <c r="AC16" s="40">
        <f>-(Parametri!$B$67*SUM(Z$5:Z16)+Parametri!$B$161*SUM(AA$5:AA16))</f>
        <v>-0.96678818466690131</v>
      </c>
      <c r="AD16" s="39">
        <f>0</f>
        <v>0</v>
      </c>
      <c r="AE16" s="41">
        <f t="shared" si="6"/>
        <v>25.453159770190702</v>
      </c>
      <c r="AF16" s="41">
        <f t="shared" si="9"/>
        <v>244.97886666704866</v>
      </c>
      <c r="AG16" s="42">
        <f t="shared" si="7"/>
        <v>-0.10032213912498415</v>
      </c>
      <c r="AH16" s="139">
        <f>SUM(Z$5:Z16)</f>
        <v>64.452545644460088</v>
      </c>
      <c r="AI16" s="139">
        <v>0</v>
      </c>
    </row>
    <row r="17" spans="1:35" ht="15" customHeight="1" x14ac:dyDescent="0.2">
      <c r="A17" s="27">
        <f>Parametri!$B$6+B17</f>
        <v>2039</v>
      </c>
      <c r="B17" s="28">
        <v>12</v>
      </c>
      <c r="C17" s="29">
        <f>C16*(1+Parametri!$B$14)</f>
        <v>23.959658940198928</v>
      </c>
      <c r="D17" s="29">
        <f>D16*(1+Parametri!$B$15)+Parametri!$B$145*(1-Parametri!$B$15)^B16</f>
        <v>17.871037178423013</v>
      </c>
      <c r="E17" s="30">
        <f t="shared" si="0"/>
        <v>0.74588028247928961</v>
      </c>
      <c r="F17" s="31">
        <f>F16*(1+Parametri!$B$20)</f>
        <v>2461.4576578430197</v>
      </c>
      <c r="G17" s="32">
        <f>G16*(1+Parametri!$B$22)</f>
        <v>27347.896004142272</v>
      </c>
      <c r="H17" s="31">
        <f t="shared" si="1"/>
        <v>418.82648762682766</v>
      </c>
      <c r="I17" s="43">
        <f>IF(B17&lt;=(Parametri!$B$35-Parametri!$B$6),Parametri!$B$32+(Parametri!$B$33-Parametri!$B$32)*B17/(Parametri!$B$35-Parametri!$B$6),Parametri!$B$33+(Parametri!$B$34-Parametri!$B$33)*(B17-(Parametri!$B$35-Parametri!$B$6))/(Parametri!$B$36-Parametri!$B$35))</f>
        <v>0.17015384615384616</v>
      </c>
      <c r="J17" s="31">
        <f t="shared" si="2"/>
        <v>390.70639145101734</v>
      </c>
      <c r="K17" s="43">
        <f t="shared" si="3"/>
        <v>0.15872968206708626</v>
      </c>
      <c r="L17" s="33">
        <f>IF(B17&lt;=5,Parametri!$B$58+(Parametri!$B$59-Parametri!$B$58)/5*B17,MIN(Parametri!$B$60,Parametri!$B$59+(Parametri!$B$60-Parametri!$B$59)/24*(B17-5)))</f>
        <v>0.71666666666666667</v>
      </c>
      <c r="M17" s="29">
        <f t="shared" si="4"/>
        <v>12.807576644536493</v>
      </c>
      <c r="N17" s="34">
        <f>IF(B17&lt;Parametri!$B$76,Parametri!$B$75*Parametri!$B$74*Parametri!$B$73/Parametri!$B$76,0)</f>
        <v>0</v>
      </c>
      <c r="O17" s="35">
        <f>IF(B17&lt;10,Parametri!$B$53,IF(B17&lt;20,Parametri!$B$56,Parametri!$B$57))*M17*G17*Parametri!$B$72/1000</f>
        <v>5.6742164410658207</v>
      </c>
      <c r="P17" s="35">
        <f>MIN(Parametri!$B$81+Parametri!$B$82,
Parametri!$B$81+Parametri!$B$82*(B17+1)/Parametri!$B$83)</f>
        <v>11.3</v>
      </c>
      <c r="Q17" s="35">
        <f>-IF(B17&lt;10,Parametri!$B$51,IF(B17&lt;20,Parametri!$B$54,Parametri!$B$57))*M17*G17/1000</f>
        <v>-28.020821931189236</v>
      </c>
      <c r="R17" s="35">
        <f t="shared" si="5"/>
        <v>21.015616448391928</v>
      </c>
      <c r="S17" s="35">
        <f t="shared" si="8"/>
        <v>163.36467707880914</v>
      </c>
      <c r="T17" s="36">
        <f>-(Parametri!$B$86*(Parametri!$B$87*Parametri!$B$90+Parametri!$B$88*Parametri!$B$91+Parametri!$B$89*Parametri!$B$92)/1000000000)*MIN(B17+1,Parametri!$B$93)</f>
        <v>-2.85975</v>
      </c>
      <c r="U17" s="36">
        <f>IF(B17&lt;Parametri!$B$125,Parametri!$B$46,IF(B17&lt;Parametri!$B$126,Parametri!$B$47,Parametri!$B$48))*Parametri!$B$96*13/1000000000*((B17+1)*Parametri!$B$121+B17*(B17+1)/2*Parametri!$B$122)</f>
        <v>22.63832064</v>
      </c>
      <c r="V17" s="35">
        <f>IF(B17&gt;=Parametri!$B$103-1,Parametri!$B$102*(1-Parametri!$B$127)^(B17-(Parametri!$B$103-1)),0)</f>
        <v>5.0047918100452629</v>
      </c>
      <c r="W17" s="35">
        <f>IF(B17&gt;=Parametri!$B$105-1,Parametri!$B$104,0)</f>
        <v>5</v>
      </c>
      <c r="X17" s="35">
        <f>IF(B17&gt;=Parametri!$B$107-1,Parametri!$B$106+Parametri!$B$128*INT((B17-(Parametri!$B$107-1))/2),0)</f>
        <v>3.45</v>
      </c>
      <c r="Y17" s="34">
        <f>IF(AND(B17&gt;=Parametri!$B$109-1,B17&lt;Parametri!$B$109-1+Parametri!$B$140),Parametri!$B$108,0)</f>
        <v>0</v>
      </c>
      <c r="Z17" s="37">
        <f>IF(B17&lt;10,Parametri!$B$52,IF(B17&lt;20,Parametri!$B$55,0))*M17*G17/1000</f>
        <v>7.0052054827973089</v>
      </c>
      <c r="AA17" s="38">
        <f>Parametri!$B$159*Parametri!$B$160</f>
        <v>0</v>
      </c>
      <c r="AB17" s="39">
        <f>SUM(Z$5:Z17)+SUM(AA$5:AA17)</f>
        <v>71.457751127257396</v>
      </c>
      <c r="AC17" s="40">
        <f>-(Parametri!$B$67*SUM(Z$5:Z17)+Parametri!$B$161*SUM(AA$5:AA17))</f>
        <v>-1.071866266908861</v>
      </c>
      <c r="AD17" s="39">
        <f>0</f>
        <v>0</v>
      </c>
      <c r="AE17" s="41">
        <f t="shared" si="6"/>
        <v>28.120096175810296</v>
      </c>
      <c r="AF17" s="41">
        <f t="shared" si="9"/>
        <v>273.09896284285895</v>
      </c>
      <c r="AG17" s="42">
        <f t="shared" si="7"/>
        <v>-0.11095009575837113</v>
      </c>
      <c r="AH17" s="139">
        <f>SUM(Z$5:Z17)</f>
        <v>71.457751127257396</v>
      </c>
      <c r="AI17" s="139">
        <v>0</v>
      </c>
    </row>
    <row r="18" spans="1:35" ht="15" customHeight="1" x14ac:dyDescent="0.2">
      <c r="A18" s="27">
        <f>Parametri!$B$6+B18</f>
        <v>2040</v>
      </c>
      <c r="B18" s="28">
        <v>13</v>
      </c>
      <c r="C18" s="29">
        <f>C17*(1+Parametri!$B$14)</f>
        <v>24.103416893840123</v>
      </c>
      <c r="D18" s="29">
        <f>D17*(1+Parametri!$B$15)+Parametri!$B$145*(1-Parametri!$B$15)^B17</f>
        <v>17.904836618707179</v>
      </c>
      <c r="E18" s="30">
        <f t="shared" si="0"/>
        <v>0.74283395991391354</v>
      </c>
      <c r="F18" s="31">
        <f>F17*(1+Parametri!$B$20)</f>
        <v>2481.1493191057639</v>
      </c>
      <c r="G18" s="32">
        <f>G17*(1+Parametri!$B$22)</f>
        <v>27402.591796150558</v>
      </c>
      <c r="H18" s="31">
        <f t="shared" si="1"/>
        <v>424.27653356708566</v>
      </c>
      <c r="I18" s="43">
        <f>IF(B18&lt;=(Parametri!$B$35-Parametri!$B$6),Parametri!$B$32+(Parametri!$B$33-Parametri!$B$32)*B18/(Parametri!$B$35-Parametri!$B$6),Parametri!$B$33+(Parametri!$B$34-Parametri!$B$33)*(B18-(Parametri!$B$35-Parametri!$B$6))/(Parametri!$B$36-Parametri!$B$35))</f>
        <v>0.17100000000000001</v>
      </c>
      <c r="J18" s="31">
        <f t="shared" si="2"/>
        <v>393.20097630622774</v>
      </c>
      <c r="K18" s="43">
        <f t="shared" si="3"/>
        <v>0.15847533773096015</v>
      </c>
      <c r="L18" s="33">
        <f>IF(B18&lt;=5,Parametri!$B$58+(Parametri!$B$59-Parametri!$B$58)/5*B18,MIN(Parametri!$B$60,Parametri!$B$59+(Parametri!$B$60-Parametri!$B$59)/24*(B18-5)))</f>
        <v>0.73333333333333328</v>
      </c>
      <c r="M18" s="29">
        <f t="shared" si="4"/>
        <v>13.130213520385263</v>
      </c>
      <c r="N18" s="34">
        <f>IF(B18&lt;Parametri!$B$76,Parametri!$B$75*Parametri!$B$74*Parametri!$B$73/Parametri!$B$76,0)</f>
        <v>0</v>
      </c>
      <c r="O18" s="35">
        <f>IF(B18&lt;10,Parametri!$B$53,IF(B18&lt;20,Parametri!$B$56,Parametri!$B$57))*M18*G18*Parametri!$B$72/1000</f>
        <v>5.828790476985712</v>
      </c>
      <c r="P18" s="35">
        <f>MIN(Parametri!$B$81+Parametri!$B$82,
Parametri!$B$81+Parametri!$B$82*(B18+1)/Parametri!$B$83)</f>
        <v>11.9</v>
      </c>
      <c r="Q18" s="35">
        <f>-IF(B18&lt;10,Parametri!$B$51,IF(B18&lt;20,Parametri!$B$54,Parametri!$B$57))*M18*G18/1000</f>
        <v>-28.78415050363315</v>
      </c>
      <c r="R18" s="35">
        <f t="shared" si="5"/>
        <v>21.588112877724861</v>
      </c>
      <c r="S18" s="35">
        <f t="shared" si="8"/>
        <v>184.95278995653399</v>
      </c>
      <c r="T18" s="36">
        <f>-(Parametri!$B$86*(Parametri!$B$87*Parametri!$B$90+Parametri!$B$88*Parametri!$B$91+Parametri!$B$89*Parametri!$B$92)/1000000000)*MIN(B18+1,Parametri!$B$93)</f>
        <v>-2.85975</v>
      </c>
      <c r="U18" s="36">
        <f>IF(B18&lt;Parametri!$B$125,Parametri!$B$46,IF(B18&lt;Parametri!$B$126,Parametri!$B$47,Parametri!$B$48))*Parametri!$B$96*13/1000000000*((B18+1)*Parametri!$B$121+B18*(B18+1)/2*Parametri!$B$122)</f>
        <v>25.454716559999998</v>
      </c>
      <c r="V18" s="35">
        <f>IF(B18&gt;=Parametri!$B$103-1,Parametri!$B$102*(1-Parametri!$B$127)^(B18-(Parametri!$B$103-1)),0)</f>
        <v>4.9297199328945833</v>
      </c>
      <c r="W18" s="35">
        <f>IF(B18&gt;=Parametri!$B$105-1,Parametri!$B$104,0)</f>
        <v>5</v>
      </c>
      <c r="X18" s="35">
        <f>IF(B18&gt;=Parametri!$B$107-1,Parametri!$B$106+Parametri!$B$128*INT((B18-(Parametri!$B$107-1))/2),0)</f>
        <v>3.59</v>
      </c>
      <c r="Y18" s="34">
        <f>IF(AND(B18&gt;=Parametri!$B$109-1,B18&lt;Parametri!$B$109-1+Parametri!$B$140),Parametri!$B$108,0)</f>
        <v>0</v>
      </c>
      <c r="Z18" s="37">
        <f>IF(B18&lt;10,Parametri!$B$52,IF(B18&lt;20,Parametri!$B$55,0))*M18*G18/1000</f>
        <v>7.1960376259082874</v>
      </c>
      <c r="AA18" s="38">
        <f>Parametri!$B$159*Parametri!$B$160</f>
        <v>0</v>
      </c>
      <c r="AB18" s="39">
        <f>SUM(Z$5:Z18)+SUM(AA$5:AA18)</f>
        <v>78.653788753165685</v>
      </c>
      <c r="AC18" s="40">
        <f>-(Parametri!$B$67*SUM(Z$5:Z18)+Parametri!$B$161*SUM(AA$5:AA18))</f>
        <v>-1.1798068312974852</v>
      </c>
      <c r="AD18" s="39">
        <f>0</f>
        <v>0</v>
      </c>
      <c r="AE18" s="41">
        <f t="shared" si="6"/>
        <v>31.075557260857948</v>
      </c>
      <c r="AF18" s="41">
        <f t="shared" si="9"/>
        <v>304.17452010371687</v>
      </c>
      <c r="AG18" s="42">
        <f t="shared" si="7"/>
        <v>-0.12259420171186837</v>
      </c>
      <c r="AH18" s="139">
        <f>SUM(Z$5:Z18)</f>
        <v>78.653788753165685</v>
      </c>
      <c r="AI18" s="139">
        <v>0</v>
      </c>
    </row>
    <row r="19" spans="1:35" ht="15" customHeight="1" x14ac:dyDescent="0.2">
      <c r="A19" s="27">
        <f>Parametri!$B$6+B19</f>
        <v>2041</v>
      </c>
      <c r="B19" s="28">
        <v>14</v>
      </c>
      <c r="C19" s="29">
        <f>C18*(1+Parametri!$B$14)</f>
        <v>24.248037395203163</v>
      </c>
      <c r="D19" s="29">
        <f>D18*(1+Parametri!$B$15)+Parametri!$B$145*(1-Parametri!$B$15)^B18</f>
        <v>17.939082834920804</v>
      </c>
      <c r="E19" s="30">
        <f t="shared" si="0"/>
        <v>0.73981586808627986</v>
      </c>
      <c r="F19" s="31">
        <f>F18*(1+Parametri!$B$20)</f>
        <v>2500.9985136586101</v>
      </c>
      <c r="G19" s="32">
        <f>G18*(1+Parametri!$B$22)</f>
        <v>27457.396979742858</v>
      </c>
      <c r="H19" s="31">
        <f t="shared" si="1"/>
        <v>423.91924806513447</v>
      </c>
      <c r="I19" s="43">
        <f>IF(B19&lt;=(Parametri!$B$35-Parametri!$B$6),Parametri!$B$32+(Parametri!$B$33-Parametri!$B$32)*B19/(Parametri!$B$35-Parametri!$B$6),Parametri!$B$33+(Parametri!$B$34-Parametri!$B$33)*(B19-(Parametri!$B$35-Parametri!$B$6))/(Parametri!$B$36-Parametri!$B$35))</f>
        <v>0.16950000000000001</v>
      </c>
      <c r="J19" s="31">
        <f t="shared" si="2"/>
        <v>389.8797879235247</v>
      </c>
      <c r="K19" s="43">
        <f t="shared" si="3"/>
        <v>0.15588965199071039</v>
      </c>
      <c r="L19" s="33">
        <f>IF(B19&lt;=5,Parametri!$B$58+(Parametri!$B$59-Parametri!$B$58)/5*B19,MIN(Parametri!$B$60,Parametri!$B$59+(Parametri!$B$60-Parametri!$B$59)/24*(B19-5)))</f>
        <v>0.75</v>
      </c>
      <c r="M19" s="29">
        <f t="shared" si="4"/>
        <v>13.454312126190603</v>
      </c>
      <c r="N19" s="34">
        <f>IF(B19&lt;Parametri!$B$76,Parametri!$B$75*Parametri!$B$74*Parametri!$B$73/Parametri!$B$76,0)</f>
        <v>0</v>
      </c>
      <c r="O19" s="35">
        <f>IF(B19&lt;10,Parametri!$B$53,IF(B19&lt;20,Parametri!$B$56,Parametri!$B$57))*M19*G19*Parametri!$B$72/1000</f>
        <v>5.984610304038573</v>
      </c>
      <c r="P19" s="35">
        <f>MIN(Parametri!$B$81+Parametri!$B$82,
Parametri!$B$81+Parametri!$B$82*(B19+1)/Parametri!$B$83)</f>
        <v>12.5</v>
      </c>
      <c r="Q19" s="35">
        <f>-IF(B19&lt;10,Parametri!$B$51,IF(B19&lt;20,Parametri!$B$54,Parametri!$B$57))*M19*G19/1000</f>
        <v>-29.553631131054686</v>
      </c>
      <c r="R19" s="35">
        <f t="shared" si="5"/>
        <v>22.165223348291015</v>
      </c>
      <c r="S19" s="35">
        <f t="shared" si="8"/>
        <v>207.11801330482501</v>
      </c>
      <c r="T19" s="36">
        <f>-(Parametri!$B$86*(Parametri!$B$87*Parametri!$B$90+Parametri!$B$88*Parametri!$B$91+Parametri!$B$89*Parametri!$B$92)/1000000000)*MIN(B19+1,Parametri!$B$93)</f>
        <v>-2.85975</v>
      </c>
      <c r="U19" s="36">
        <f>IF(B19&lt;Parametri!$B$125,Parametri!$B$46,IF(B19&lt;Parametri!$B$126,Parametri!$B$47,Parametri!$B$48))*Parametri!$B$96*13/1000000000*((B19+1)*Parametri!$B$121+B19*(B19+1)/2*Parametri!$B$122)</f>
        <v>28.424681999999997</v>
      </c>
      <c r="V19" s="35">
        <f>IF(B19&gt;=Parametri!$B$103-1,Parametri!$B$102*(1-Parametri!$B$127)^(B19-(Parametri!$B$103-1)),0)</f>
        <v>4.8557741339011651</v>
      </c>
      <c r="W19" s="35">
        <f>IF(B19&gt;=Parametri!$B$105-1,Parametri!$B$104,0)</f>
        <v>5</v>
      </c>
      <c r="X19" s="35">
        <f>IF(B19&gt;=Parametri!$B$107-1,Parametri!$B$106+Parametri!$B$128*INT((B19-(Parametri!$B$107-1))/2),0)</f>
        <v>3.59</v>
      </c>
      <c r="Y19" s="34">
        <f>IF(AND(B19&gt;=Parametri!$B$109-1,B19&lt;Parametri!$B$109-1+Parametri!$B$140),Parametri!$B$108,0)</f>
        <v>0</v>
      </c>
      <c r="Z19" s="37">
        <f>IF(B19&lt;10,Parametri!$B$52,IF(B19&lt;20,Parametri!$B$55,0))*M19*G19/1000</f>
        <v>7.3884077827636716</v>
      </c>
      <c r="AA19" s="38">
        <f>Parametri!$B$159*Parametri!$B$160</f>
        <v>0</v>
      </c>
      <c r="AB19" s="39">
        <f>SUM(Z$5:Z19)+SUM(AA$5:AA19)</f>
        <v>86.042196535929349</v>
      </c>
      <c r="AC19" s="40">
        <f>-(Parametri!$B$67*SUM(Z$5:Z19)+Parametri!$B$161*SUM(AA$5:AA19))</f>
        <v>-1.2906329480389402</v>
      </c>
      <c r="AD19" s="39">
        <f>0</f>
        <v>0</v>
      </c>
      <c r="AE19" s="41">
        <f t="shared" si="6"/>
        <v>34.039460141609773</v>
      </c>
      <c r="AF19" s="41">
        <f t="shared" si="9"/>
        <v>338.21398024532664</v>
      </c>
      <c r="AG19" s="42">
        <f t="shared" si="7"/>
        <v>-0.13523157986630188</v>
      </c>
      <c r="AH19" s="139">
        <f>SUM(Z$5:Z19)</f>
        <v>86.042196535929349</v>
      </c>
      <c r="AI19" s="139">
        <v>0</v>
      </c>
    </row>
    <row r="20" spans="1:35" ht="15" customHeight="1" x14ac:dyDescent="0.2">
      <c r="A20" s="27">
        <f>Parametri!$B$6+B20</f>
        <v>2042</v>
      </c>
      <c r="B20" s="28">
        <v>15</v>
      </c>
      <c r="C20" s="29">
        <f>C19*(1+Parametri!$B$14)</f>
        <v>24.393525619574383</v>
      </c>
      <c r="D20" s="29">
        <f>D19*(1+Parametri!$B$15)+Parametri!$B$145*(1-Parametri!$B$15)^B19</f>
        <v>17.973776672049901</v>
      </c>
      <c r="E20" s="30">
        <f t="shared" si="0"/>
        <v>0.73682570335904995</v>
      </c>
      <c r="F20" s="31">
        <f>F19*(1+Parametri!$B$20)</f>
        <v>2521.0065017678789</v>
      </c>
      <c r="G20" s="32">
        <f>G19*(1+Parametri!$B$22)</f>
        <v>27512.311773702342</v>
      </c>
      <c r="H20" s="31">
        <f t="shared" si="1"/>
        <v>423.52909229700367</v>
      </c>
      <c r="I20" s="33">
        <f>IF(B20&lt;=(Parametri!$B$35-Parametri!$B$6),Parametri!$B$32+(Parametri!$B$33-Parametri!$B$32)*B20/(Parametri!$B$35-Parametri!$B$6),Parametri!$B$33+(Parametri!$B$34-Parametri!$B$33)*(B20-(Parametri!$B$35-Parametri!$B$6))/(Parametri!$B$36-Parametri!$B$35))</f>
        <v>0.16800000000000001</v>
      </c>
      <c r="J20" s="31">
        <f t="shared" si="2"/>
        <v>389.9212207518944</v>
      </c>
      <c r="K20" s="33">
        <f t="shared" si="3"/>
        <v>0.15466886756478357</v>
      </c>
      <c r="L20" s="33">
        <f>IF(B20&lt;=5,Parametri!$B$58+(Parametri!$B$59-Parametri!$B$58)/5*B20,MIN(Parametri!$B$60,Parametri!$B$59+(Parametri!$B$60-Parametri!$B$59)/24*(B20-5)))</f>
        <v>0.76666666666666661</v>
      </c>
      <c r="M20" s="29">
        <f t="shared" si="4"/>
        <v>13.77989544857159</v>
      </c>
      <c r="N20" s="34">
        <f>IF(B20&lt;Parametri!$B$76,Parametri!$B$75*Parametri!$B$74*Parametri!$B$73/Parametri!$B$76,0)</f>
        <v>0</v>
      </c>
      <c r="O20" s="35">
        <f>IF(B20&lt;10,Parametri!$B$53,IF(B20&lt;20,Parametri!$B$56,Parametri!$B$57))*M20*G20*Parametri!$B$72/1000</f>
        <v>6.1416918326000003</v>
      </c>
      <c r="P20" s="35">
        <f>MIN(Parametri!$B$81+Parametri!$B$82,
Parametri!$B$81+Parametri!$B$82*(B20+1)/Parametri!$B$83)</f>
        <v>12.5</v>
      </c>
      <c r="Q20" s="35">
        <f>-IF(B20&lt;10,Parametri!$B$51,IF(B20&lt;20,Parametri!$B$54,Parametri!$B$57))*M20*G20/1000</f>
        <v>-30.32934238320988</v>
      </c>
      <c r="R20" s="35">
        <f t="shared" si="5"/>
        <v>22.747006787407411</v>
      </c>
      <c r="S20" s="35">
        <f t="shared" si="8"/>
        <v>229.86502009223241</v>
      </c>
      <c r="T20" s="36">
        <f>-(Parametri!$B$86*(Parametri!$B$87*Parametri!$B$90+Parametri!$B$88*Parametri!$B$91+Parametri!$B$89*Parametri!$B$92)/1000000000)*MIN(B20+1,Parametri!$B$93)</f>
        <v>-2.85975</v>
      </c>
      <c r="U20" s="36">
        <f>IF(B20&lt;Parametri!$B$125,Parametri!$B$46,IF(B20&lt;Parametri!$B$126,Parametri!$B$47,Parametri!$B$48))*Parametri!$B$96*13/1000000000*((B20+1)*Parametri!$B$121+B20*(B20+1)/2*Parametri!$B$122)</f>
        <v>31.548216959999994</v>
      </c>
      <c r="V20" s="35">
        <f>IF(B20&gt;=Parametri!$B$103-1,Parametri!$B$102*(1-Parametri!$B$127)^(B20-(Parametri!$B$103-1)),0)</f>
        <v>4.7829375218926469</v>
      </c>
      <c r="W20" s="35">
        <f>IF(B20&gt;=Parametri!$B$105-1,Parametri!$B$104,0)</f>
        <v>5</v>
      </c>
      <c r="X20" s="35">
        <f>IF(B20&gt;=Parametri!$B$107-1,Parametri!$B$106+Parametri!$B$128*INT((B20-(Parametri!$B$107-1))/2),0)</f>
        <v>3.73</v>
      </c>
      <c r="Y20" s="34">
        <f>IF(AND(B20&gt;=Parametri!$B$109-1,B20&lt;Parametri!$B$109-1+Parametri!$B$140),Parametri!$B$108,0)</f>
        <v>0</v>
      </c>
      <c r="Z20" s="37">
        <f>IF(B20&lt;10,Parametri!$B$52,IF(B20&lt;20,Parametri!$B$55,0))*M20*G20/1000</f>
        <v>7.5823355958024701</v>
      </c>
      <c r="AA20" s="38">
        <f>Parametri!$B$159*Parametri!$B$160</f>
        <v>0</v>
      </c>
      <c r="AB20" s="39">
        <f>(SUM(Z$5:Z20)+SUM(AA$5:AA20)-SUM(Z$5:Z5)-SUM(AA$5:AA5))</f>
        <v>90.540682131731828</v>
      </c>
      <c r="AC20" s="40">
        <f>-(Parametri!$B$67*SUM(Z$5:Z20)+Parametri!$B$161*SUM(AA$5:AA20))</f>
        <v>-1.4043679819759773</v>
      </c>
      <c r="AD20" s="39">
        <f t="shared" ref="AD20:AD38" si="10">-Z5-AA5</f>
        <v>-3.0838500000000004</v>
      </c>
      <c r="AE20" s="41">
        <f t="shared" si="6"/>
        <v>33.607871545109255</v>
      </c>
      <c r="AF20" s="41">
        <f t="shared" si="9"/>
        <v>371.82185179043591</v>
      </c>
      <c r="AG20" s="42">
        <f t="shared" si="7"/>
        <v>-0.1474894457946429</v>
      </c>
      <c r="AH20" s="139">
        <f>SUM(Z$5:Z20)-SUM(Z$5:Z5)</f>
        <v>90.540682131731828</v>
      </c>
      <c r="AI20" s="139">
        <f t="shared" ref="AI20:AI38" si="11">-Z5</f>
        <v>-3.0838500000000004</v>
      </c>
    </row>
    <row r="21" spans="1:35" ht="15" customHeight="1" x14ac:dyDescent="0.2">
      <c r="A21" s="27">
        <f>Parametri!$B$6+B21</f>
        <v>2043</v>
      </c>
      <c r="B21" s="28">
        <v>16</v>
      </c>
      <c r="C21" s="29">
        <f>C20*(1+Parametri!$B$14)</f>
        <v>24.53988677329183</v>
      </c>
      <c r="D21" s="29">
        <f>D20*(1+Parametri!$B$15)+Parametri!$B$145*(1-Parametri!$B$15)^B20</f>
        <v>18.008918986249867</v>
      </c>
      <c r="E21" s="30">
        <f t="shared" si="0"/>
        <v>0.73386316540995655</v>
      </c>
      <c r="F21" s="31">
        <f>F20*(1+Parametri!$B$20)</f>
        <v>2541.174553782022</v>
      </c>
      <c r="G21" s="32">
        <f>G20*(1+Parametri!$B$22)</f>
        <v>27567.336397249746</v>
      </c>
      <c r="H21" s="31">
        <f t="shared" si="1"/>
        <v>423.1055632047067</v>
      </c>
      <c r="I21" s="33">
        <f>IF(B21&lt;=(Parametri!$B$35-Parametri!$B$6),Parametri!$B$32+(Parametri!$B$33-Parametri!$B$32)*B21/(Parametri!$B$35-Parametri!$B$6),Parametri!$B$33+(Parametri!$B$34-Parametri!$B$33)*(B21-(Parametri!$B$35-Parametri!$B$6))/(Parametri!$B$36-Parametri!$B$35))</f>
        <v>0.16650000000000001</v>
      </c>
      <c r="J21" s="31">
        <f t="shared" si="2"/>
        <v>387.35481814920792</v>
      </c>
      <c r="K21" s="33">
        <f t="shared" si="3"/>
        <v>0.15243140915790651</v>
      </c>
      <c r="L21" s="33">
        <f>IF(B21&lt;=5,Parametri!$B$58+(Parametri!$B$59-Parametri!$B$58)/5*B21,MIN(Parametri!$B$60,Parametri!$B$59+(Parametri!$B$60-Parametri!$B$59)/24*(B21-5)))</f>
        <v>0.78333333333333333</v>
      </c>
      <c r="M21" s="29">
        <f t="shared" si="4"/>
        <v>14.106986539229062</v>
      </c>
      <c r="N21" s="34">
        <f>IF(B21&lt;Parametri!$B$76,Parametri!$B$75*Parametri!$B$74*Parametri!$B$73/Parametri!$B$76,0)</f>
        <v>0</v>
      </c>
      <c r="O21" s="35">
        <f>IF(B21&lt;10,Parametri!$B$53,IF(B21&lt;20,Parametri!$B$56,Parametri!$B$57))*M21*G21*Parametri!$B$72/1000</f>
        <v>6.3000511043501053</v>
      </c>
      <c r="P21" s="35">
        <f>MIN(Parametri!$B$81+Parametri!$B$82,
Parametri!$B$81+Parametri!$B$82*(B21+1)/Parametri!$B$83)</f>
        <v>12.5</v>
      </c>
      <c r="Q21" s="35">
        <f>-IF(B21&lt;10,Parametri!$B$51,IF(B21&lt;20,Parametri!$B$54,Parametri!$B$57))*M21*G21/1000</f>
        <v>-31.111363478272128</v>
      </c>
      <c r="R21" s="35">
        <f t="shared" si="5"/>
        <v>23.333522608704097</v>
      </c>
      <c r="S21" s="35">
        <f t="shared" si="8"/>
        <v>253.19854270093651</v>
      </c>
      <c r="T21" s="36">
        <f>-(Parametri!$B$86*(Parametri!$B$87*Parametri!$B$90+Parametri!$B$88*Parametri!$B$91+Parametri!$B$89*Parametri!$B$92)/1000000000)*MIN(B21+1,Parametri!$B$93)</f>
        <v>-2.85975</v>
      </c>
      <c r="U21" s="36">
        <f>IF(B21&lt;Parametri!$B$125,Parametri!$B$46,IF(B21&lt;Parametri!$B$126,Parametri!$B$47,Parametri!$B$48))*Parametri!$B$96*13/1000000000*((B21+1)*Parametri!$B$121+B21*(B21+1)/2*Parametri!$B$122)</f>
        <v>34.825321439999996</v>
      </c>
      <c r="V21" s="35">
        <f>IF(B21&gt;=Parametri!$B$103-1,Parametri!$B$102*(1-Parametri!$B$127)^(B21-(Parametri!$B$103-1)),0)</f>
        <v>4.7111934590642575</v>
      </c>
      <c r="W21" s="35">
        <f>IF(B21&gt;=Parametri!$B$105-1,Parametri!$B$104,0)</f>
        <v>5</v>
      </c>
      <c r="X21" s="35">
        <f>IF(B21&gt;=Parametri!$B$107-1,Parametri!$B$106+Parametri!$B$128*INT((B21-(Parametri!$B$107-1))/2),0)</f>
        <v>3.73</v>
      </c>
      <c r="Y21" s="34">
        <f>IF(AND(B21&gt;=Parametri!$B$109-1,B21&lt;Parametri!$B$109-1+Parametri!$B$140),Parametri!$B$108,0)</f>
        <v>0</v>
      </c>
      <c r="Z21" s="37">
        <f>IF(B21&lt;10,Parametri!$B$52,IF(B21&lt;20,Parametri!$B$55,0))*M21*G21/1000</f>
        <v>7.7778408695680321</v>
      </c>
      <c r="AA21" s="38">
        <f>Parametri!$B$159*Parametri!$B$160</f>
        <v>0</v>
      </c>
      <c r="AB21" s="39">
        <f>(SUM(Z$5:Z21)+SUM(AA$5:AA21)-SUM(Z$5:Z6)-SUM(AA$5:AA6))</f>
        <v>94.717010257107859</v>
      </c>
      <c r="AC21" s="40">
        <f>-(Parametri!$B$67*SUM(Z$5:Z21)+Parametri!$B$161*SUM(AA$5:AA21))</f>
        <v>-1.5210355950194978</v>
      </c>
      <c r="AD21" s="39">
        <f t="shared" si="10"/>
        <v>-3.601512744192001</v>
      </c>
      <c r="AE21" s="41">
        <f t="shared" si="6"/>
        <v>35.750745055498761</v>
      </c>
      <c r="AF21" s="41">
        <f t="shared" si="9"/>
        <v>407.5725968459347</v>
      </c>
      <c r="AG21" s="42">
        <f t="shared" si="7"/>
        <v>-0.16038748547963605</v>
      </c>
      <c r="AH21" s="139">
        <f>SUM(Z$5:Z21)-SUM(Z$5:Z6)</f>
        <v>94.717010257107859</v>
      </c>
      <c r="AI21" s="139">
        <f t="shared" si="11"/>
        <v>-3.601512744192001</v>
      </c>
    </row>
    <row r="22" spans="1:35" ht="15" customHeight="1" x14ac:dyDescent="0.2">
      <c r="A22" s="27">
        <f>Parametri!$B$6+B22</f>
        <v>2044</v>
      </c>
      <c r="B22" s="28">
        <v>17</v>
      </c>
      <c r="C22" s="29">
        <f>C21*(1+Parametri!$B$14)</f>
        <v>24.687126093931582</v>
      </c>
      <c r="D22" s="29">
        <f>D21*(1+Parametri!$B$15)+Parametri!$B$145*(1-Parametri!$B$15)^B21</f>
        <v>18.044510644866637</v>
      </c>
      <c r="E22" s="30">
        <f t="shared" si="0"/>
        <v>0.73092795719556092</v>
      </c>
      <c r="F22" s="31">
        <f>F21*(1+Parametri!$B$20)</f>
        <v>2561.5039502122781</v>
      </c>
      <c r="G22" s="32">
        <f>G21*(1+Parametri!$B$22)</f>
        <v>27622.471070044245</v>
      </c>
      <c r="H22" s="31">
        <f t="shared" si="1"/>
        <v>422.6481517850259</v>
      </c>
      <c r="I22" s="33">
        <f>IF(B22&lt;=(Parametri!$B$35-Parametri!$B$6),Parametri!$B$32+(Parametri!$B$33-Parametri!$B$32)*B22/(Parametri!$B$35-Parametri!$B$6),Parametri!$B$33+(Parametri!$B$34-Parametri!$B$33)*(B22-(Parametri!$B$35-Parametri!$B$6))/(Parametri!$B$36-Parametri!$B$35))</f>
        <v>0.16500000000000001</v>
      </c>
      <c r="J22" s="31">
        <f t="shared" si="2"/>
        <v>384.47015373412654</v>
      </c>
      <c r="K22" s="33">
        <f t="shared" si="3"/>
        <v>0.15009547562956699</v>
      </c>
      <c r="L22" s="33">
        <f>IF(B22&lt;=5,Parametri!$B$58+(Parametri!$B$59-Parametri!$B$58)/5*B22,MIN(Parametri!$B$60,Parametri!$B$59+(Parametri!$B$60-Parametri!$B$59)/24*(B22-5)))</f>
        <v>0.8</v>
      </c>
      <c r="M22" s="29">
        <f t="shared" si="4"/>
        <v>14.435608515893311</v>
      </c>
      <c r="N22" s="34">
        <f>IF(B22&lt;Parametri!$B$76,Parametri!$B$75*Parametri!$B$74*Parametri!$B$73/Parametri!$B$76,0)</f>
        <v>0</v>
      </c>
      <c r="O22" s="35">
        <f>IF(B22&lt;10,Parametri!$B$53,IF(B22&lt;20,Parametri!$B$56,Parametri!$B$57))*M22*G22*Parametri!$B$72/1000</f>
        <v>6.4597042934617068</v>
      </c>
      <c r="P22" s="35">
        <f>MIN(Parametri!$B$81+Parametri!$B$82,
Parametri!$B$81+Parametri!$B$82*(B22+1)/Parametri!$B$83)</f>
        <v>12.5</v>
      </c>
      <c r="Q22" s="35">
        <f>-IF(B22&lt;10,Parametri!$B$51,IF(B22&lt;20,Parametri!$B$54,Parametri!$B$57))*M22*G22/1000</f>
        <v>-31.899774288699788</v>
      </c>
      <c r="R22" s="35">
        <f t="shared" si="5"/>
        <v>23.924830716524841</v>
      </c>
      <c r="S22" s="35">
        <f t="shared" si="8"/>
        <v>277.12337341746138</v>
      </c>
      <c r="T22" s="36">
        <f>-(Parametri!$B$86*(Parametri!$B$87*Parametri!$B$90+Parametri!$B$88*Parametri!$B$91+Parametri!$B$89*Parametri!$B$92)/1000000000)*MIN(B22+1,Parametri!$B$93)</f>
        <v>-2.85975</v>
      </c>
      <c r="U22" s="36">
        <f>IF(B22&lt;Parametri!$B$125,Parametri!$B$46,IF(B22&lt;Parametri!$B$126,Parametri!$B$47,Parametri!$B$48))*Parametri!$B$96*13/1000000000*((B22+1)*Parametri!$B$121+B22*(B22+1)/2*Parametri!$B$122)</f>
        <v>38.25599544</v>
      </c>
      <c r="V22" s="35">
        <f>IF(B22&gt;=Parametri!$B$103-1,Parametri!$B$102*(1-Parametri!$B$127)^(B22-(Parametri!$B$103-1)),0)</f>
        <v>4.6405255571782931</v>
      </c>
      <c r="W22" s="35">
        <f>IF(B22&gt;=Parametri!$B$105-1,Parametri!$B$104,0)</f>
        <v>5</v>
      </c>
      <c r="X22" s="35">
        <f>IF(B22&gt;=Parametri!$B$107-1,Parametri!$B$106+Parametri!$B$128*INT((B22-(Parametri!$B$107-1))/2),0)</f>
        <v>3.87</v>
      </c>
      <c r="Y22" s="34">
        <f>IF(AND(B22&gt;=Parametri!$B$109-1,B22&lt;Parametri!$B$109-1+Parametri!$B$140),Parametri!$B$108,0)</f>
        <v>0</v>
      </c>
      <c r="Z22" s="37">
        <f>IF(B22&lt;10,Parametri!$B$52,IF(B22&lt;20,Parametri!$B$55,0))*M22*G22/1000</f>
        <v>7.9749435721749471</v>
      </c>
      <c r="AA22" s="38">
        <f>Parametri!$B$159*Parametri!$B$160</f>
        <v>0</v>
      </c>
      <c r="AB22" s="39">
        <f>(SUM(Z$5:Z22)+SUM(AA$5:AA22)-SUM(Z$5:Z7)-SUM(AA$5:AA7))</f>
        <v>98.56896705466913</v>
      </c>
      <c r="AC22" s="40">
        <f>-(Parametri!$B$67*SUM(Z$5:Z22)+Parametri!$B$161*SUM(AA$5:AA22))</f>
        <v>-1.6406597486021222</v>
      </c>
      <c r="AD22" s="39">
        <f t="shared" si="10"/>
        <v>-4.122986774613687</v>
      </c>
      <c r="AE22" s="41">
        <f t="shared" si="6"/>
        <v>38.177998050899348</v>
      </c>
      <c r="AF22" s="41">
        <f t="shared" si="9"/>
        <v>445.75059489683406</v>
      </c>
      <c r="AG22" s="42">
        <f t="shared" si="7"/>
        <v>-0.1740190932986434</v>
      </c>
      <c r="AH22" s="139">
        <f>SUM(Z$5:Z22)-SUM(Z$5:Z7)</f>
        <v>98.56896705466913</v>
      </c>
      <c r="AI22" s="139">
        <f t="shared" si="11"/>
        <v>-4.122986774613687</v>
      </c>
    </row>
    <row r="23" spans="1:35" ht="15" customHeight="1" x14ac:dyDescent="0.2">
      <c r="A23" s="27">
        <f>Parametri!$B$6+B23</f>
        <v>2045</v>
      </c>
      <c r="B23" s="28">
        <v>18</v>
      </c>
      <c r="C23" s="29">
        <f>C22*(1+Parametri!$B$14)</f>
        <v>24.835248850495173</v>
      </c>
      <c r="D23" s="29">
        <f>D22*(1+Parametri!$B$15)+Parametri!$B$145*(1-Parametri!$B$15)^B22</f>
        <v>18.080552526458064</v>
      </c>
      <c r="E23" s="30">
        <f t="shared" si="0"/>
        <v>0.72801978491540531</v>
      </c>
      <c r="F23" s="31">
        <f>F22*(1+Parametri!$B$20)</f>
        <v>2581.9959818139764</v>
      </c>
      <c r="G23" s="32">
        <f>G22*(1+Parametri!$B$22)</f>
        <v>27677.716012184334</v>
      </c>
      <c r="H23" s="31">
        <f t="shared" si="1"/>
        <v>422.15634302658515</v>
      </c>
      <c r="I23" s="33">
        <f>IF(B23&lt;=(Parametri!$B$35-Parametri!$B$6),Parametri!$B$32+(Parametri!$B$33-Parametri!$B$32)*B23/(Parametri!$B$35-Parametri!$B$6),Parametri!$B$33+(Parametri!$B$34-Parametri!$B$33)*(B23-(Parametri!$B$35-Parametri!$B$6))/(Parametri!$B$36-Parametri!$B$35))</f>
        <v>0.16350000000000001</v>
      </c>
      <c r="J23" s="31">
        <f t="shared" si="2"/>
        <v>381.54685193629138</v>
      </c>
      <c r="K23" s="33">
        <f t="shared" si="3"/>
        <v>0.1477720548845457</v>
      </c>
      <c r="L23" s="33">
        <f>IF(B23&lt;=5,Parametri!$B$58+(Parametri!$B$59-Parametri!$B$58)/5*B23,MIN(Parametri!$B$60,Parametri!$B$59+(Parametri!$B$60-Parametri!$B$59)/24*(B23-5)))</f>
        <v>0.81666666666666665</v>
      </c>
      <c r="M23" s="29">
        <f t="shared" si="4"/>
        <v>14.765784563274085</v>
      </c>
      <c r="N23" s="34">
        <f>IF(B23&lt;Parametri!$B$76,Parametri!$B$75*Parametri!$B$74*Parametri!$B$73/Parametri!$B$76,0)</f>
        <v>0</v>
      </c>
      <c r="O23" s="35">
        <f>IF(B23&lt;10,Parametri!$B$53,IF(B23&lt;20,Parametri!$B$56,Parametri!$B$57))*M23*G23*Parametri!$B$72/1000</f>
        <v>6.6206677077982059</v>
      </c>
      <c r="P23" s="35">
        <f>MIN(Parametri!$B$81+Parametri!$B$82,
Parametri!$B$81+Parametri!$B$82*(B23+1)/Parametri!$B$83)</f>
        <v>12.5</v>
      </c>
      <c r="Q23" s="35">
        <f>-IF(B23&lt;10,Parametri!$B$51,IF(B23&lt;20,Parametri!$B$54,Parametri!$B$57))*M23*G23/1000</f>
        <v>-32.694655347151631</v>
      </c>
      <c r="R23" s="35">
        <f t="shared" si="5"/>
        <v>24.520991510363721</v>
      </c>
      <c r="S23" s="35">
        <f t="shared" si="8"/>
        <v>301.64436492782511</v>
      </c>
      <c r="T23" s="36">
        <f>-(Parametri!$B$86*(Parametri!$B$87*Parametri!$B$90+Parametri!$B$88*Parametri!$B$91+Parametri!$B$89*Parametri!$B$92)/1000000000)*MIN(B23+1,Parametri!$B$93)</f>
        <v>-2.85975</v>
      </c>
      <c r="U23" s="36">
        <f>IF(B23&lt;Parametri!$B$125,Parametri!$B$46,IF(B23&lt;Parametri!$B$126,Parametri!$B$47,Parametri!$B$48))*Parametri!$B$96*13/1000000000*((B23+1)*Parametri!$B$121+B23*(B23+1)/2*Parametri!$B$122)</f>
        <v>41.840238959999994</v>
      </c>
      <c r="V23" s="35">
        <f>IF(B23&gt;=Parametri!$B$103-1,Parametri!$B$102*(1-Parametri!$B$127)^(B23-(Parametri!$B$103-1)),0)</f>
        <v>4.5709176738206194</v>
      </c>
      <c r="W23" s="35">
        <f>IF(B23&gt;=Parametri!$B$105-1,Parametri!$B$104,0)</f>
        <v>5</v>
      </c>
      <c r="X23" s="35">
        <f>IF(B23&gt;=Parametri!$B$107-1,Parametri!$B$106+Parametri!$B$128*INT((B23-(Parametri!$B$107-1))/2),0)</f>
        <v>3.87</v>
      </c>
      <c r="Y23" s="34">
        <f>IF(AND(B23&gt;=Parametri!$B$109-1,B23&lt;Parametri!$B$109-1+Parametri!$B$140),Parametri!$B$108,0)</f>
        <v>0</v>
      </c>
      <c r="Z23" s="37">
        <f>IF(B23&lt;10,Parametri!$B$52,IF(B23&lt;20,Parametri!$B$55,0))*M23*G23/1000</f>
        <v>8.1736638367879078</v>
      </c>
      <c r="AA23" s="38">
        <f>Parametri!$B$159*Parametri!$B$160</f>
        <v>0</v>
      </c>
      <c r="AB23" s="39">
        <f>(SUM(Z$5:Z23)+SUM(AA$5:AA23)-SUM(Z$5:Z8)-SUM(AA$5:AA8))</f>
        <v>102.09430385664965</v>
      </c>
      <c r="AC23" s="40">
        <f>-(Parametri!$B$67*SUM(Z$5:Z23)+Parametri!$B$161*SUM(AA$5:AA23))</f>
        <v>-1.7632647061539408</v>
      </c>
      <c r="AD23" s="39">
        <f t="shared" si="10"/>
        <v>-4.6483270348073873</v>
      </c>
      <c r="AE23" s="41">
        <f t="shared" si="6"/>
        <v>40.609491090293766</v>
      </c>
      <c r="AF23" s="41">
        <f t="shared" si="9"/>
        <v>486.36008598712783</v>
      </c>
      <c r="AG23" s="42">
        <f t="shared" si="7"/>
        <v>-0.18836593449902911</v>
      </c>
      <c r="AH23" s="139">
        <f>SUM(Z$5:Z23)-SUM(Z$5:Z8)</f>
        <v>102.09430385664965</v>
      </c>
      <c r="AI23" s="139">
        <f t="shared" si="11"/>
        <v>-4.6483270348073873</v>
      </c>
    </row>
    <row r="24" spans="1:35" ht="15" customHeight="1" x14ac:dyDescent="0.2">
      <c r="A24" s="27">
        <f>Parametri!$B$6+B24</f>
        <v>2046</v>
      </c>
      <c r="B24" s="28">
        <v>19</v>
      </c>
      <c r="C24" s="29">
        <f>C23*(1+Parametri!$B$14)</f>
        <v>24.984260343598145</v>
      </c>
      <c r="D24" s="29">
        <f>D23*(1+Parametri!$B$15)+Parametri!$B$145*(1-Parametri!$B$15)^B23</f>
        <v>18.117045520815612</v>
      </c>
      <c r="E24" s="30">
        <f t="shared" si="0"/>
        <v>0.72513835797655879</v>
      </c>
      <c r="F24" s="31">
        <f>F23*(1+Parametri!$B$20)</f>
        <v>2602.6519496684882</v>
      </c>
      <c r="G24" s="32">
        <f>G23*(1+Parametri!$B$22)</f>
        <v>27733.071444208701</v>
      </c>
      <c r="H24" s="31">
        <f t="shared" si="1"/>
        <v>421.62961584629511</v>
      </c>
      <c r="I24" s="33">
        <f>IF(B24&lt;=(Parametri!$B$35-Parametri!$B$6),Parametri!$B$32+(Parametri!$B$33-Parametri!$B$32)*B24/(Parametri!$B$35-Parametri!$B$6),Parametri!$B$33+(Parametri!$B$34-Parametri!$B$33)*(B24-(Parametri!$B$35-Parametri!$B$6))/(Parametri!$B$36-Parametri!$B$35))</f>
        <v>0.16200000000000001</v>
      </c>
      <c r="J24" s="31">
        <f t="shared" si="2"/>
        <v>378.30453199136457</v>
      </c>
      <c r="K24" s="33">
        <f t="shared" si="3"/>
        <v>0.14535348533235531</v>
      </c>
      <c r="L24" s="33">
        <f>IF(B24&lt;=5,Parametri!$B$58+(Parametri!$B$59-Parametri!$B$58)/5*B24,MIN(Parametri!$B$60,Parametri!$B$59+(Parametri!$B$60-Parametri!$B$59)/24*(B24-5)))</f>
        <v>0.83333333333333326</v>
      </c>
      <c r="M24" s="29">
        <f t="shared" si="4"/>
        <v>15.097537934013008</v>
      </c>
      <c r="N24" s="34">
        <f>IF(B24&lt;Parametri!$B$76,Parametri!$B$75*Parametri!$B$74*Parametri!$B$73/Parametri!$B$76,0)</f>
        <v>0</v>
      </c>
      <c r="O24" s="35">
        <f>IF(B24&lt;10,Parametri!$B$53,IF(B24&lt;20,Parametri!$B$56,Parametri!$B$57))*M24*G24*Parametri!$B$72/1000</f>
        <v>6.7829577901212668</v>
      </c>
      <c r="P24" s="35">
        <f>MIN(Parametri!$B$81+Parametri!$B$82,
Parametri!$B$81+Parametri!$B$82*(B24+1)/Parametri!$B$83)</f>
        <v>12.5</v>
      </c>
      <c r="Q24" s="35">
        <f>-IF(B24&lt;10,Parametri!$B$51,IF(B24&lt;20,Parametri!$B$54,Parametri!$B$57))*M24*G24/1000</f>
        <v>-33.496087852450707</v>
      </c>
      <c r="R24" s="35">
        <f t="shared" si="5"/>
        <v>25.122065889338032</v>
      </c>
      <c r="S24" s="35">
        <f t="shared" si="8"/>
        <v>326.76643081716315</v>
      </c>
      <c r="T24" s="36">
        <f>-(Parametri!$B$86*(Parametri!$B$87*Parametri!$B$90+Parametri!$B$88*Parametri!$B$91+Parametri!$B$89*Parametri!$B$92)/1000000000)*MIN(B24+1,Parametri!$B$93)</f>
        <v>-2.85975</v>
      </c>
      <c r="U24" s="36">
        <f>IF(B24&lt;Parametri!$B$125,Parametri!$B$46,IF(B24&lt;Parametri!$B$126,Parametri!$B$47,Parametri!$B$48))*Parametri!$B$96*13/1000000000*((B24+1)*Parametri!$B$121+B24*(B24+1)/2*Parametri!$B$122)</f>
        <v>45.578052</v>
      </c>
      <c r="V24" s="35">
        <f>IF(B24&gt;=Parametri!$B$103-1,Parametri!$B$102*(1-Parametri!$B$127)^(B24-(Parametri!$B$103-1)),0)</f>
        <v>4.5023539087133102</v>
      </c>
      <c r="W24" s="35">
        <f>IF(B24&gt;=Parametri!$B$105-1,Parametri!$B$104,0)</f>
        <v>5</v>
      </c>
      <c r="X24" s="35">
        <f>IF(B24&gt;=Parametri!$B$107-1,Parametri!$B$106+Parametri!$B$128*INT((B24-(Parametri!$B$107-1))/2),0)</f>
        <v>4.01</v>
      </c>
      <c r="Y24" s="34">
        <f>IF(AND(B24&gt;=Parametri!$B$109-1,B24&lt;Parametri!$B$109-1+Parametri!$B$140),Parametri!$B$108,0)</f>
        <v>0</v>
      </c>
      <c r="Z24" s="37">
        <f>IF(B24&lt;10,Parametri!$B$52,IF(B24&lt;20,Parametri!$B$55,0))*M24*G24/1000</f>
        <v>8.3740219631126767</v>
      </c>
      <c r="AA24" s="38">
        <f>Parametri!$B$159*Parametri!$B$160</f>
        <v>0</v>
      </c>
      <c r="AB24" s="39">
        <f>(SUM(Z$5:Z24)+SUM(AA$5:AA24)-SUM(Z$5:Z9)-SUM(AA$5:AA9))</f>
        <v>105.29073690079696</v>
      </c>
      <c r="AC24" s="40">
        <f>-(Parametri!$B$67*SUM(Z$5:Z24)+Parametri!$B$161*SUM(AA$5:AA24))</f>
        <v>-1.888875035600631</v>
      </c>
      <c r="AD24" s="39">
        <f t="shared" si="10"/>
        <v>-5.1775889189653741</v>
      </c>
      <c r="AE24" s="41">
        <f t="shared" si="6"/>
        <v>43.325083854930533</v>
      </c>
      <c r="AF24" s="41">
        <f t="shared" si="9"/>
        <v>529.68516984205837</v>
      </c>
      <c r="AG24" s="42">
        <f t="shared" si="7"/>
        <v>-0.20351748143255452</v>
      </c>
      <c r="AH24" s="139">
        <f>SUM(Z$5:Z24)-SUM(Z$5:Z9)</f>
        <v>105.29073690079696</v>
      </c>
      <c r="AI24" s="139">
        <f t="shared" si="11"/>
        <v>-5.1775889189653741</v>
      </c>
    </row>
    <row r="25" spans="1:35" ht="15" customHeight="1" x14ac:dyDescent="0.2">
      <c r="A25" s="27">
        <f>Parametri!$B$6+B25</f>
        <v>2047</v>
      </c>
      <c r="B25" s="28">
        <v>20</v>
      </c>
      <c r="C25" s="29">
        <f>C24*(1+Parametri!$B$14)</f>
        <v>25.134165905659735</v>
      </c>
      <c r="D25" s="29">
        <f>D24*(1+Parametri!$B$15)+Parametri!$B$145*(1-Parametri!$B$15)^B24</f>
        <v>18.15399052898632</v>
      </c>
      <c r="E25" s="30">
        <f t="shared" si="0"/>
        <v>0.72228338895854849</v>
      </c>
      <c r="F25" s="31">
        <f>F24*(1+Parametri!$B$20)</f>
        <v>2623.4731652658361</v>
      </c>
      <c r="G25" s="32">
        <f>G24*(1+Parametri!$B$22)</f>
        <v>27788.537587097118</v>
      </c>
      <c r="H25" s="31">
        <f t="shared" si="1"/>
        <v>421.06744302516671</v>
      </c>
      <c r="I25" s="33">
        <f>IF(B25&lt;=(Parametri!$B$35-Parametri!$B$6),Parametri!$B$32+(Parametri!$B$33-Parametri!$B$32)*B25/(Parametri!$B$35-Parametri!$B$6),Parametri!$B$33+(Parametri!$B$34-Parametri!$B$33)*(B25-(Parametri!$B$35-Parametri!$B$6))/(Parametri!$B$36-Parametri!$B$35))</f>
        <v>0.1605</v>
      </c>
      <c r="J25" s="31">
        <f t="shared" si="2"/>
        <v>384.28492938286939</v>
      </c>
      <c r="K25" s="33">
        <f t="shared" si="3"/>
        <v>0.14647945878414573</v>
      </c>
      <c r="L25" s="33">
        <f>IF(B25&lt;=5,Parametri!$B$58+(Parametri!$B$59-Parametri!$B$58)/5*B25,MIN(Parametri!$B$60,Parametri!$B$59+(Parametri!$B$60-Parametri!$B$59)/24*(B25-5)))</f>
        <v>0.85</v>
      </c>
      <c r="M25" s="29">
        <f t="shared" si="4"/>
        <v>15.430891949638372</v>
      </c>
      <c r="N25" s="34">
        <f>IF(B25&lt;Parametri!$B$76,Parametri!$B$75*Parametri!$B$74*Parametri!$B$73/Parametri!$B$76,0)</f>
        <v>0</v>
      </c>
      <c r="O25" s="35">
        <f>IF(B25&lt;10,Parametri!$B$53,IF(B25&lt;20,Parametri!$B$56,Parametri!$B$57))*M25*G25*Parametri!$B$72/1000</f>
        <v>10.419886678962534</v>
      </c>
      <c r="P25" s="35">
        <f>MIN(Parametri!$B$81+Parametri!$B$82,
Parametri!$B$81+Parametri!$B$82*(B25+1)/Parametri!$B$83)</f>
        <v>12.5</v>
      </c>
      <c r="Q25" s="35">
        <f>-IF(B25&lt;10,Parametri!$B$51,IF(B25&lt;20,Parametri!$B$54,Parametri!$B$57))*M25*G25/1000</f>
        <v>-38.592172885046423</v>
      </c>
      <c r="R25" s="35">
        <f t="shared" si="5"/>
        <v>38.592172885046423</v>
      </c>
      <c r="S25" s="35">
        <f t="shared" si="8"/>
        <v>365.35860370220956</v>
      </c>
      <c r="T25" s="36">
        <f>-(Parametri!$B$86*(Parametri!$B$87*Parametri!$B$90+Parametri!$B$88*Parametri!$B$91+Parametri!$B$89*Parametri!$B$92)/1000000000)*MIN(B25+1,Parametri!$B$93)</f>
        <v>-2.85975</v>
      </c>
      <c r="U25" s="36">
        <f>IF(B25&lt;Parametri!$B$125,Parametri!$B$46,IF(B25&lt;Parametri!$B$126,Parametri!$B$47,Parametri!$B$48))*Parametri!$B$96*13/1000000000*((B25+1)*Parametri!$B$121+B25*(B25+1)/2*Parametri!$B$122)</f>
        <v>49.469434559999996</v>
      </c>
      <c r="V25" s="35">
        <f>IF(B25&gt;=Parametri!$B$103-1,Parametri!$B$102*(1-Parametri!$B$127)^(B25-(Parametri!$B$103-1)),0)</f>
        <v>4.4348186000826111</v>
      </c>
      <c r="W25" s="35">
        <f>IF(B25&gt;=Parametri!$B$105-1,Parametri!$B$104,0)</f>
        <v>5</v>
      </c>
      <c r="X25" s="35">
        <f>IF(B25&gt;=Parametri!$B$107-1,Parametri!$B$106+Parametri!$B$128*INT((B25-(Parametri!$B$107-1))/2),0)</f>
        <v>4.01</v>
      </c>
      <c r="Y25" s="34">
        <f>IF(AND(B25&gt;=Parametri!$B$109-1,B25&lt;Parametri!$B$109-1+Parametri!$B$140),Parametri!$B$108,0)</f>
        <v>0</v>
      </c>
      <c r="Z25" s="37">
        <f>IF(B25&lt;10,Parametri!$B$52,IF(B25&lt;20,Parametri!$B$55,0))*M25*G25/1000</f>
        <v>0</v>
      </c>
      <c r="AA25" s="38">
        <f>Parametri!$B$159*Parametri!$B$160</f>
        <v>0</v>
      </c>
      <c r="AB25" s="39">
        <f>(SUM(Z$5:Z25)+SUM(AA$5:AA25)-SUM(Z$5:Z10)-SUM(AA$5:AA10))</f>
        <v>99.579908624696202</v>
      </c>
      <c r="AC25" s="40">
        <f>-(Parametri!$B$67*SUM(Z$5:Z25)+Parametri!$B$161*SUM(AA$5:AA25))</f>
        <v>-1.888875035600631</v>
      </c>
      <c r="AD25" s="39">
        <f t="shared" si="10"/>
        <v>-5.7108282761007629</v>
      </c>
      <c r="AE25" s="41">
        <f t="shared" si="6"/>
        <v>36.782513642297317</v>
      </c>
      <c r="AF25" s="41">
        <f t="shared" si="9"/>
        <v>566.46768348435569</v>
      </c>
      <c r="AG25" s="42">
        <f t="shared" si="7"/>
        <v>-0.21592280454180121</v>
      </c>
      <c r="AH25" s="139">
        <f>SUM(Z$5:Z25)-SUM(Z$5:Z10)</f>
        <v>99.579908624696202</v>
      </c>
      <c r="AI25" s="139">
        <f t="shared" si="11"/>
        <v>-5.7108282761007629</v>
      </c>
    </row>
    <row r="26" spans="1:35" ht="15" customHeight="1" x14ac:dyDescent="0.2">
      <c r="A26" s="27">
        <f>Parametri!$B$6+B26</f>
        <v>2048</v>
      </c>
      <c r="B26" s="28">
        <v>21</v>
      </c>
      <c r="C26" s="29">
        <f>C25*(1+Parametri!$B$14)</f>
        <v>25.284970901093693</v>
      </c>
      <c r="D26" s="29">
        <f>D25*(1+Parametri!$B$15)+Parametri!$B$145*(1-Parametri!$B$15)^B25</f>
        <v>18.191388463295052</v>
      </c>
      <c r="E26" s="30">
        <f t="shared" si="0"/>
        <v>0.71945459357867758</v>
      </c>
      <c r="F26" s="31">
        <f>F25*(1+Parametri!$B$20)</f>
        <v>2644.460950587963</v>
      </c>
      <c r="G26" s="32">
        <f>G25*(1+Parametri!$B$22)</f>
        <v>27844.114662271313</v>
      </c>
      <c r="H26" s="31">
        <f t="shared" si="1"/>
        <v>420.46929114348615</v>
      </c>
      <c r="I26" s="33">
        <f>IF(B26&lt;=(Parametri!$B$35-Parametri!$B$6),Parametri!$B$32+(Parametri!$B$33-Parametri!$B$32)*B26/(Parametri!$B$35-Parametri!$B$6),Parametri!$B$33+(Parametri!$B$34-Parametri!$B$33)*(B26-(Parametri!$B$35-Parametri!$B$6))/(Parametri!$B$36-Parametri!$B$35))</f>
        <v>0.159</v>
      </c>
      <c r="J26" s="31">
        <f t="shared" si="2"/>
        <v>380.41808988432098</v>
      </c>
      <c r="K26" s="33">
        <f t="shared" si="3"/>
        <v>0.1438546822934707</v>
      </c>
      <c r="L26" s="33">
        <f>IF(B26&lt;=5,Parametri!$B$58+(Parametri!$B$59-Parametri!$B$58)/5*B26,MIN(Parametri!$B$60,Parametri!$B$59+(Parametri!$B$60-Parametri!$B$59)/24*(B26-5)))</f>
        <v>0.8666666666666667</v>
      </c>
      <c r="M26" s="29">
        <f t="shared" si="4"/>
        <v>15.765870001522378</v>
      </c>
      <c r="N26" s="34">
        <f>IF(B26&lt;Parametri!$B$76,Parametri!$B$75*Parametri!$B$74*Parametri!$B$73/Parametri!$B$76,0)</f>
        <v>0</v>
      </c>
      <c r="O26" s="35">
        <f>IF(B26&lt;10,Parametri!$B$53,IF(B26&lt;20,Parametri!$B$56,Parametri!$B$57))*M26*G26*Parametri!$B$72/1000</f>
        <v>10.667376617370323</v>
      </c>
      <c r="P26" s="35">
        <f>MIN(Parametri!$B$81+Parametri!$B$82,
Parametri!$B$81+Parametri!$B$82*(B26+1)/Parametri!$B$83)</f>
        <v>12.5</v>
      </c>
      <c r="Q26" s="35">
        <f>-IF(B26&lt;10,Parametri!$B$51,IF(B26&lt;20,Parametri!$B$54,Parametri!$B$57))*M26*G26/1000</f>
        <v>-39.508802286556744</v>
      </c>
      <c r="R26" s="35">
        <f t="shared" si="5"/>
        <v>39.508802286556744</v>
      </c>
      <c r="S26" s="35">
        <f t="shared" si="8"/>
        <v>404.86740598876634</v>
      </c>
      <c r="T26" s="36">
        <f>-(Parametri!$B$86*(Parametri!$B$87*Parametri!$B$90+Parametri!$B$88*Parametri!$B$91+Parametri!$B$89*Parametri!$B$92)/1000000000)*MIN(B26+1,Parametri!$B$93)</f>
        <v>-2.85975</v>
      </c>
      <c r="U26" s="36">
        <f>IF(B26&lt;Parametri!$B$125,Parametri!$B$46,IF(B26&lt;Parametri!$B$126,Parametri!$B$47,Parametri!$B$48))*Parametri!$B$96*13/1000000000*((B26+1)*Parametri!$B$121+B26*(B26+1)/2*Parametri!$B$122)</f>
        <v>53.514386639999998</v>
      </c>
      <c r="V26" s="35">
        <f>IF(B26&gt;=Parametri!$B$103-1,Parametri!$B$102*(1-Parametri!$B$127)^(B26-(Parametri!$B$103-1)),0)</f>
        <v>4.3682963210813712</v>
      </c>
      <c r="W26" s="35">
        <f>IF(B26&gt;=Parametri!$B$105-1,Parametri!$B$104,0)</f>
        <v>5</v>
      </c>
      <c r="X26" s="35">
        <f>IF(B26&gt;=Parametri!$B$107-1,Parametri!$B$106+Parametri!$B$128*INT((B26-(Parametri!$B$107-1))/2),0)</f>
        <v>4.1500000000000004</v>
      </c>
      <c r="Y26" s="34">
        <f>IF(AND(B26&gt;=Parametri!$B$109-1,B26&lt;Parametri!$B$109-1+Parametri!$B$140),Parametri!$B$108,0)</f>
        <v>0</v>
      </c>
      <c r="Z26" s="37">
        <f>IF(B26&lt;10,Parametri!$B$52,IF(B26&lt;20,Parametri!$B$55,0))*M26*G26/1000</f>
        <v>0</v>
      </c>
      <c r="AA26" s="38">
        <f>Parametri!$B$159*Parametri!$B$160</f>
        <v>0</v>
      </c>
      <c r="AB26" s="39">
        <f>(SUM(Z$5:Z26)+SUM(AA$5:AA26)-SUM(Z$5:Z11)-SUM(AA$5:AA11))</f>
        <v>93.688477627567039</v>
      </c>
      <c r="AC26" s="40">
        <f>-(Parametri!$B$67*SUM(Z$5:Z26)+Parametri!$B$161*SUM(AA$5:AA26))</f>
        <v>-1.888875035600631</v>
      </c>
      <c r="AD26" s="39">
        <f t="shared" si="10"/>
        <v>-5.8914309971291541</v>
      </c>
      <c r="AE26" s="41">
        <f t="shared" si="6"/>
        <v>40.051201259165161</v>
      </c>
      <c r="AF26" s="41">
        <f t="shared" si="9"/>
        <v>606.51888474352086</v>
      </c>
      <c r="AG26" s="42">
        <f t="shared" si="7"/>
        <v>-0.22935444919641143</v>
      </c>
      <c r="AH26" s="139">
        <f>SUM(Z$5:Z26)-SUM(Z$5:Z11)</f>
        <v>93.688477627567039</v>
      </c>
      <c r="AI26" s="139">
        <f t="shared" si="11"/>
        <v>-5.8914309971291541</v>
      </c>
    </row>
    <row r="27" spans="1:35" ht="15" customHeight="1" x14ac:dyDescent="0.2">
      <c r="A27" s="27">
        <f>Parametri!$B$6+B27</f>
        <v>2049</v>
      </c>
      <c r="B27" s="28">
        <v>22</v>
      </c>
      <c r="C27" s="29">
        <f>C26*(1+Parametri!$B$14)</f>
        <v>25.436680726500256</v>
      </c>
      <c r="D27" s="29">
        <f>D26*(1+Parametri!$B$15)+Parametri!$B$145*(1-Parametri!$B$15)^B26</f>
        <v>18.229240247367006</v>
      </c>
      <c r="E27" s="30">
        <f t="shared" si="0"/>
        <v>0.71665169065771828</v>
      </c>
      <c r="F27" s="31">
        <f>F26*(1+Parametri!$B$20)</f>
        <v>2665.6166381926669</v>
      </c>
      <c r="G27" s="32">
        <f>G26*(1+Parametri!$B$22)</f>
        <v>27899.802891595857</v>
      </c>
      <c r="H27" s="31">
        <f t="shared" si="1"/>
        <v>419.83462051534502</v>
      </c>
      <c r="I27" s="33">
        <f>IF(B27&lt;=(Parametri!$B$35-Parametri!$B$6),Parametri!$B$32+(Parametri!$B$33-Parametri!$B$32)*B27/(Parametri!$B$35-Parametri!$B$6),Parametri!$B$33+(Parametri!$B$34-Parametri!$B$33)*(B27-(Parametri!$B$35-Parametri!$B$6))/(Parametri!$B$36-Parametri!$B$35))</f>
        <v>0.1575</v>
      </c>
      <c r="J27" s="31">
        <f t="shared" si="2"/>
        <v>376.50715298140045</v>
      </c>
      <c r="K27" s="33">
        <f t="shared" si="3"/>
        <v>0.14124579940973009</v>
      </c>
      <c r="L27" s="33">
        <f>IF(B27&lt;=5,Parametri!$B$58+(Parametri!$B$59-Parametri!$B$58)/5*B27,MIN(Parametri!$B$60,Parametri!$B$59+(Parametri!$B$60-Parametri!$B$59)/24*(B27-5)))</f>
        <v>0.8833333333333333</v>
      </c>
      <c r="M27" s="29">
        <f t="shared" si="4"/>
        <v>16.102495551840853</v>
      </c>
      <c r="N27" s="34">
        <f>IF(B27&lt;Parametri!$B$76,Parametri!$B$75*Parametri!$B$74*Parametri!$B$73/Parametri!$B$76,0)</f>
        <v>0</v>
      </c>
      <c r="O27" s="35">
        <f>IF(B27&lt;10,Parametri!$B$53,IF(B27&lt;20,Parametri!$B$56,Parametri!$B$57))*M27*G27*Parametri!$B$72/1000</f>
        <v>10.916931782607561</v>
      </c>
      <c r="P27" s="35">
        <f>MIN(Parametri!$B$81+Parametri!$B$82,
Parametri!$B$81+Parametri!$B$82*(B27+1)/Parametri!$B$83)</f>
        <v>12.5</v>
      </c>
      <c r="Q27" s="35">
        <f>-IF(B27&lt;10,Parametri!$B$51,IF(B27&lt;20,Parametri!$B$54,Parametri!$B$57))*M27*G27/1000</f>
        <v>-40.433080676324295</v>
      </c>
      <c r="R27" s="35">
        <f t="shared" si="5"/>
        <v>40.433080676324295</v>
      </c>
      <c r="S27" s="35">
        <f t="shared" si="8"/>
        <v>445.3004866650906</v>
      </c>
      <c r="T27" s="36">
        <f>-(Parametri!$B$86*(Parametri!$B$87*Parametri!$B$90+Parametri!$B$88*Parametri!$B$91+Parametri!$B$89*Parametri!$B$92)/1000000000)*MIN(B27+1,Parametri!$B$93)</f>
        <v>-2.85975</v>
      </c>
      <c r="U27" s="36">
        <f>IF(B27&lt;Parametri!$B$125,Parametri!$B$46,IF(B27&lt;Parametri!$B$126,Parametri!$B$47,Parametri!$B$48))*Parametri!$B$96*13/1000000000*((B27+1)*Parametri!$B$121+B27*(B27+1)/2*Parametri!$B$122)</f>
        <v>57.712908239999997</v>
      </c>
      <c r="V27" s="35">
        <f>IF(B27&gt;=Parametri!$B$103-1,Parametri!$B$102*(1-Parametri!$B$127)^(B27-(Parametri!$B$103-1)),0)</f>
        <v>4.302771876265151</v>
      </c>
      <c r="W27" s="35">
        <f>IF(B27&gt;=Parametri!$B$105-1,Parametri!$B$104,0)</f>
        <v>5</v>
      </c>
      <c r="X27" s="35">
        <f>IF(B27&gt;=Parametri!$B$107-1,Parametri!$B$106+Parametri!$B$128*INT((B27-(Parametri!$B$107-1))/2),0)</f>
        <v>4.1500000000000004</v>
      </c>
      <c r="Y27" s="34">
        <f>IF(AND(B27&gt;=Parametri!$B$109-1,B27&lt;Parametri!$B$109-1+Parametri!$B$140),Parametri!$B$108,0)</f>
        <v>0</v>
      </c>
      <c r="Z27" s="37">
        <f>IF(B27&lt;10,Parametri!$B$52,IF(B27&lt;20,Parametri!$B$55,0))*M27*G27/1000</f>
        <v>0</v>
      </c>
      <c r="AA27" s="38">
        <f>Parametri!$B$159*Parametri!$B$160</f>
        <v>0</v>
      </c>
      <c r="AB27" s="39">
        <f>(SUM(Z$5:Z27)+SUM(AA$5:AA27)-SUM(Z$5:Z12)-SUM(AA$5:AA12))</f>
        <v>87.615038974563831</v>
      </c>
      <c r="AC27" s="40">
        <f>-(Parametri!$B$67*SUM(Z$5:Z27)+Parametri!$B$161*SUM(AA$5:AA27))</f>
        <v>-1.888875035600631</v>
      </c>
      <c r="AD27" s="39">
        <f t="shared" si="10"/>
        <v>-6.0734386530032047</v>
      </c>
      <c r="AE27" s="41">
        <f t="shared" si="6"/>
        <v>43.327467533944585</v>
      </c>
      <c r="AF27" s="41">
        <f t="shared" si="9"/>
        <v>649.84635227746548</v>
      </c>
      <c r="AG27" s="42">
        <f t="shared" si="7"/>
        <v>-0.24378837638036063</v>
      </c>
      <c r="AH27" s="139">
        <f>SUM(Z$5:Z27)-SUM(Z$5:Z12)</f>
        <v>87.615038974563831</v>
      </c>
      <c r="AI27" s="139">
        <f t="shared" si="11"/>
        <v>-6.0734386530032047</v>
      </c>
    </row>
    <row r="28" spans="1:35" ht="15" customHeight="1" x14ac:dyDescent="0.2">
      <c r="A28" s="27">
        <f>Parametri!$B$6+B28</f>
        <v>2050</v>
      </c>
      <c r="B28" s="28">
        <v>23</v>
      </c>
      <c r="C28" s="29">
        <f>C27*(1+Parametri!$B$14)</f>
        <v>25.589300810859257</v>
      </c>
      <c r="D28" s="29">
        <f>D27*(1+Parametri!$B$15)+Parametri!$B$145*(1-Parametri!$B$15)^B27</f>
        <v>18.267546816150542</v>
      </c>
      <c r="E28" s="30">
        <f t="shared" si="0"/>
        <v>0.71387440208598418</v>
      </c>
      <c r="F28" s="31">
        <f>F27*(1+Parametri!$B$20)</f>
        <v>2686.9415712982081</v>
      </c>
      <c r="G28" s="32">
        <f>G27*(1+Parametri!$B$22)</f>
        <v>27955.602497379048</v>
      </c>
      <c r="H28" s="31">
        <f t="shared" si="1"/>
        <v>419.16288512252049</v>
      </c>
      <c r="I28" s="33">
        <f>IF(B28&lt;=(Parametri!$B$35-Parametri!$B$6),Parametri!$B$32+(Parametri!$B$33-Parametri!$B$32)*B28/(Parametri!$B$35-Parametri!$B$6),Parametri!$B$33+(Parametri!$B$34-Parametri!$B$33)*(B28-(Parametri!$B$35-Parametri!$B$6))/(Parametri!$B$36-Parametri!$B$35))</f>
        <v>0.156</v>
      </c>
      <c r="J28" s="31">
        <f t="shared" si="2"/>
        <v>372.27167509385896</v>
      </c>
      <c r="K28" s="33">
        <f t="shared" si="3"/>
        <v>0.13854848169027889</v>
      </c>
      <c r="L28" s="33">
        <f>IF(B28&lt;=5,Parametri!$B$58+(Parametri!$B$59-Parametri!$B$58)/5*B28,MIN(Parametri!$B$60,Parametri!$B$59+(Parametri!$B$60-Parametri!$B$59)/24*(B28-5)))</f>
        <v>0.89999999999999991</v>
      </c>
      <c r="M28" s="29">
        <f t="shared" si="4"/>
        <v>16.440792134535485</v>
      </c>
      <c r="N28" s="34">
        <f>IF(B28&lt;Parametri!$B$76,Parametri!$B$75*Parametri!$B$74*Parametri!$B$73/Parametri!$B$76,0)</f>
        <v>0</v>
      </c>
      <c r="O28" s="35">
        <f>IF(B28&lt;10,Parametri!$B$53,IF(B28&lt;20,Parametri!$B$56,Parametri!$B$57))*M28*G28*Parametri!$B$72/1000</f>
        <v>11.168577666619175</v>
      </c>
      <c r="P28" s="35">
        <f>MIN(Parametri!$B$81+Parametri!$B$82,
Parametri!$B$81+Parametri!$B$82*(B28+1)/Parametri!$B$83)</f>
        <v>12.5</v>
      </c>
      <c r="Q28" s="35">
        <f>-IF(B28&lt;10,Parametri!$B$51,IF(B28&lt;20,Parametri!$B$54,Parametri!$B$57))*M28*G28/1000</f>
        <v>-41.365102468959897</v>
      </c>
      <c r="R28" s="35">
        <f t="shared" si="5"/>
        <v>41.365102468959897</v>
      </c>
      <c r="S28" s="35">
        <f t="shared" si="8"/>
        <v>486.66558913405049</v>
      </c>
      <c r="T28" s="36">
        <f>-(Parametri!$B$86*(Parametri!$B$87*Parametri!$B$90+Parametri!$B$88*Parametri!$B$91+Parametri!$B$89*Parametri!$B$92)/1000000000)*MIN(B28+1,Parametri!$B$93)</f>
        <v>-2.85975</v>
      </c>
      <c r="U28" s="36">
        <f>IF(B28&lt;Parametri!$B$125,Parametri!$B$46,IF(B28&lt;Parametri!$B$126,Parametri!$B$47,Parametri!$B$48))*Parametri!$B$96*13/1000000000*((B28+1)*Parametri!$B$121+B28*(B28+1)/2*Parametri!$B$122)</f>
        <v>62.064999359999995</v>
      </c>
      <c r="V28" s="35">
        <f>IF(B28&gt;=Parametri!$B$103-1,Parametri!$B$102*(1-Parametri!$B$127)^(B28-(Parametri!$B$103-1)),0)</f>
        <v>4.2382302981211737</v>
      </c>
      <c r="W28" s="35">
        <f>IF(B28&gt;=Parametri!$B$105-1,Parametri!$B$104,0)</f>
        <v>5</v>
      </c>
      <c r="X28" s="35">
        <f>IF(B28&gt;=Parametri!$B$107-1,Parametri!$B$106+Parametri!$B$128*INT((B28-(Parametri!$B$107-1))/2),0)</f>
        <v>4.29</v>
      </c>
      <c r="Y28" s="34">
        <f>IF(AND(B28&gt;=Parametri!$B$109-1,B28&lt;Parametri!$B$109-1+Parametri!$B$140),Parametri!$B$108,0)</f>
        <v>0</v>
      </c>
      <c r="Z28" s="37">
        <f>IF(B28&lt;10,Parametri!$B$52,IF(B28&lt;20,Parametri!$B$55,0))*M28*G28/1000</f>
        <v>0</v>
      </c>
      <c r="AA28" s="38">
        <f>Parametri!$B$159*Parametri!$B$160</f>
        <v>0</v>
      </c>
      <c r="AB28" s="39">
        <f>(SUM(Z$5:Z28)+SUM(AA$5:AA28)-SUM(Z$5:Z13)-SUM(AA$5:AA13))</f>
        <v>81.358169183045561</v>
      </c>
      <c r="AC28" s="40">
        <f>-(Parametri!$B$67*SUM(Z$5:Z28)+Parametri!$B$161*SUM(AA$5:AA28))</f>
        <v>-1.888875035600631</v>
      </c>
      <c r="AD28" s="39">
        <f t="shared" si="10"/>
        <v>-6.2568697915182598</v>
      </c>
      <c r="AE28" s="41">
        <f t="shared" si="6"/>
        <v>46.891210028661547</v>
      </c>
      <c r="AF28" s="41">
        <f t="shared" si="9"/>
        <v>696.73756230612707</v>
      </c>
      <c r="AG28" s="42">
        <f t="shared" si="7"/>
        <v>-0.25930506630611067</v>
      </c>
      <c r="AH28" s="139">
        <f>SUM(Z$5:Z28)-SUM(Z$5:Z13)</f>
        <v>81.358169183045561</v>
      </c>
      <c r="AI28" s="139">
        <f t="shared" si="11"/>
        <v>-6.2568697915182598</v>
      </c>
    </row>
    <row r="29" spans="1:35" ht="15" customHeight="1" x14ac:dyDescent="0.2">
      <c r="A29" s="27">
        <f>Parametri!$B$6+B29</f>
        <v>2051</v>
      </c>
      <c r="B29" s="28">
        <v>24</v>
      </c>
      <c r="C29" s="29">
        <f>C28*(1+Parametri!$B$14)</f>
        <v>25.742836615724414</v>
      </c>
      <c r="D29" s="29">
        <f>D28*(1+Parametri!$B$15)+Parametri!$B$145*(1-Parametri!$B$15)^B28</f>
        <v>18.306309115940262</v>
      </c>
      <c r="E29" s="30">
        <f t="shared" si="0"/>
        <v>0.7111224527897706</v>
      </c>
      <c r="F29" s="31">
        <f>F28*(1+Parametri!$B$20)</f>
        <v>2708.437103868594</v>
      </c>
      <c r="G29" s="32">
        <f>G28*(1+Parametri!$B$22)</f>
        <v>28011.513702373806</v>
      </c>
      <c r="H29" s="31">
        <f t="shared" si="1"/>
        <v>418.45353254769776</v>
      </c>
      <c r="I29" s="33">
        <f>IF(B29&lt;=(Parametri!$B$35-Parametri!$B$6),Parametri!$B$32+(Parametri!$B$33-Parametri!$B$32)*B29/(Parametri!$B$35-Parametri!$B$6),Parametri!$B$33+(Parametri!$B$34-Parametri!$B$33)*(B29-(Parametri!$B$35-Parametri!$B$6))/(Parametri!$B$36-Parametri!$B$35))</f>
        <v>0.1545</v>
      </c>
      <c r="J29" s="31">
        <f t="shared" si="2"/>
        <v>367.99120674218955</v>
      </c>
      <c r="K29" s="33">
        <f t="shared" si="3"/>
        <v>0.1358684704978268</v>
      </c>
      <c r="L29" s="33">
        <f>IF(B29&lt;=5,Parametri!$B$58+(Parametri!$B$59-Parametri!$B$58)/5*B29,MIN(Parametri!$B$60,Parametri!$B$59+(Parametri!$B$60-Parametri!$B$59)/24*(B29-5)))</f>
        <v>0.91666666666666663</v>
      </c>
      <c r="M29" s="29">
        <f t="shared" si="4"/>
        <v>16.780783356278572</v>
      </c>
      <c r="N29" s="34">
        <f>IF(B29&lt;Parametri!$B$76,Parametri!$B$75*Parametri!$B$74*Parametri!$B$73/Parametri!$B$76,0)</f>
        <v>0</v>
      </c>
      <c r="O29" s="35">
        <f>IF(B29&lt;10,Parametri!$B$53,IF(B29&lt;20,Parametri!$B$56,Parametri!$B$57))*M29*G29*Parametri!$B$72/1000</f>
        <v>11.422339972979415</v>
      </c>
      <c r="P29" s="35">
        <f>MIN(Parametri!$B$81+Parametri!$B$82,
Parametri!$B$81+Parametri!$B$82*(B29+1)/Parametri!$B$83)</f>
        <v>12.5</v>
      </c>
      <c r="Q29" s="35">
        <f>-IF(B29&lt;10,Parametri!$B$51,IF(B29&lt;20,Parametri!$B$54,Parametri!$B$57))*M29*G29/1000</f>
        <v>-42.304962862886718</v>
      </c>
      <c r="R29" s="35">
        <f t="shared" si="5"/>
        <v>42.304962862886718</v>
      </c>
      <c r="S29" s="35">
        <f t="shared" si="8"/>
        <v>528.97055199693716</v>
      </c>
      <c r="T29" s="36">
        <f>-(Parametri!$B$86*(Parametri!$B$87*Parametri!$B$90+Parametri!$B$88*Parametri!$B$91+Parametri!$B$89*Parametri!$B$92)/1000000000)*MIN(B29+1,Parametri!$B$93)</f>
        <v>-2.85975</v>
      </c>
      <c r="U29" s="36">
        <f>IF(B29&lt;Parametri!$B$125,Parametri!$B$46,IF(B29&lt;Parametri!$B$126,Parametri!$B$47,Parametri!$B$48))*Parametri!$B$96*13/1000000000*((B29+1)*Parametri!$B$121+B29*(B29+1)/2*Parametri!$B$122)</f>
        <v>66.57065999999999</v>
      </c>
      <c r="V29" s="35">
        <f>IF(B29&gt;=Parametri!$B$103-1,Parametri!$B$102*(1-Parametri!$B$127)^(B29-(Parametri!$B$103-1)),0)</f>
        <v>4.1746568436493563</v>
      </c>
      <c r="W29" s="35">
        <f>IF(B29&gt;=Parametri!$B$105-1,Parametri!$B$104,0)</f>
        <v>5</v>
      </c>
      <c r="X29" s="35">
        <f>IF(B29&gt;=Parametri!$B$107-1,Parametri!$B$106+Parametri!$B$128*INT((B29-(Parametri!$B$107-1))/2),0)</f>
        <v>4.29</v>
      </c>
      <c r="Y29" s="34">
        <f>IF(AND(B29&gt;=Parametri!$B$109-1,B29&lt;Parametri!$B$109-1+Parametri!$B$140),Parametri!$B$108,0)</f>
        <v>0</v>
      </c>
      <c r="Z29" s="37">
        <f>IF(B29&lt;10,Parametri!$B$52,IF(B29&lt;20,Parametri!$B$55,0))*M29*G29/1000</f>
        <v>0</v>
      </c>
      <c r="AA29" s="38">
        <f>Parametri!$B$159*Parametri!$B$160</f>
        <v>0</v>
      </c>
      <c r="AB29" s="39">
        <f>(SUM(Z$5:Z29)+SUM(AA$5:AA29)-SUM(Z$5:Z14)-SUM(AA$5:AA14))</f>
        <v>74.916426070412399</v>
      </c>
      <c r="AC29" s="39">
        <f>-(Parametri!$B$67*SUM(Z$5:Z29)+Parametri!$B$161*SUM(AA$5:AA29))</f>
        <v>-1.888875035600631</v>
      </c>
      <c r="AD29" s="39">
        <f t="shared" si="10"/>
        <v>-6.441743112633171</v>
      </c>
      <c r="AE29" s="41">
        <f t="shared" si="6"/>
        <v>50.462325805508243</v>
      </c>
      <c r="AF29" s="41">
        <f t="shared" si="9"/>
        <v>747.19988811163535</v>
      </c>
      <c r="AG29" s="42">
        <f t="shared" si="7"/>
        <v>-0.27587861909156869</v>
      </c>
      <c r="AH29" s="139">
        <f>SUM(Z$5:Z29)-SUM(Z$5:Z14)</f>
        <v>74.916426070412399</v>
      </c>
      <c r="AI29" s="139">
        <f t="shared" si="11"/>
        <v>-6.441743112633171</v>
      </c>
    </row>
    <row r="30" spans="1:35" ht="15" customHeight="1" x14ac:dyDescent="0.2">
      <c r="A30" s="27">
        <f>Parametri!$B$6+B30</f>
        <v>2052</v>
      </c>
      <c r="B30" s="28">
        <v>25</v>
      </c>
      <c r="C30" s="29">
        <f>C29*(1+Parametri!$B$14)</f>
        <v>25.897293635418762</v>
      </c>
      <c r="D30" s="29">
        <f>D29*(1+Parametri!$B$15)+Parametri!$B$145*(1-Parametri!$B$15)^B29</f>
        <v>18.345528104400387</v>
      </c>
      <c r="E30" s="30">
        <f t="shared" si="0"/>
        <v>0.70839557069816328</v>
      </c>
      <c r="F30" s="31">
        <f>F29*(1+Parametri!$B$20)</f>
        <v>2730.104600699543</v>
      </c>
      <c r="G30" s="32">
        <f>G29*(1+Parametri!$B$22)</f>
        <v>28067.536729778552</v>
      </c>
      <c r="H30" s="31">
        <f t="shared" si="1"/>
        <v>417.70600390703009</v>
      </c>
      <c r="I30" s="33">
        <f>IF(B30&lt;=(Parametri!$B$35-Parametri!$B$6),Parametri!$B$32+(Parametri!$B$33-Parametri!$B$32)*B30/(Parametri!$B$35-Parametri!$B$6),Parametri!$B$33+(Parametri!$B$34-Parametri!$B$33)*(B30-(Parametri!$B$35-Parametri!$B$6))/(Parametri!$B$36-Parametri!$B$35))</f>
        <v>0.153</v>
      </c>
      <c r="J30" s="31">
        <f t="shared" si="2"/>
        <v>363.38529249008332</v>
      </c>
      <c r="K30" s="33">
        <f t="shared" si="3"/>
        <v>0.13310306586677009</v>
      </c>
      <c r="L30" s="33">
        <f>IF(B30&lt;=5,Parametri!$B$58+(Parametri!$B$59-Parametri!$B$58)/5*B30,MIN(Parametri!$B$60,Parametri!$B$59+(Parametri!$B$60-Parametri!$B$59)/24*(B30-5)))</f>
        <v>0.93333333333333335</v>
      </c>
      <c r="M30" s="29">
        <f t="shared" si="4"/>
        <v>17.12249289744036</v>
      </c>
      <c r="N30" s="34">
        <f>IF(B30&lt;Parametri!$B$76,Parametri!$B$75*Parametri!$B$74*Parametri!$B$73/Parametri!$B$76,0)</f>
        <v>0</v>
      </c>
      <c r="O30" s="35">
        <f>IF(B30&lt;10,Parametri!$B$53,IF(B30&lt;20,Parametri!$B$56,Parametri!$B$57))*M30*G30*Parametri!$B$72/1000</f>
        <v>11.678244618793997</v>
      </c>
      <c r="P30" s="35">
        <f>MIN(Parametri!$B$81+Parametri!$B$82,
Parametri!$B$81+Parametri!$B$82*(B30+1)/Parametri!$B$83)</f>
        <v>12.5</v>
      </c>
      <c r="Q30" s="35">
        <f>-IF(B30&lt;10,Parametri!$B$51,IF(B30&lt;20,Parametri!$B$54,Parametri!$B$57))*M30*G30/1000</f>
        <v>-43.252757847385169</v>
      </c>
      <c r="R30" s="35">
        <f t="shared" si="5"/>
        <v>43.252757847385169</v>
      </c>
      <c r="S30" s="35">
        <f t="shared" si="8"/>
        <v>572.22330984432233</v>
      </c>
      <c r="T30" s="36">
        <f>-(Parametri!$B$86*(Parametri!$B$87*Parametri!$B$90+Parametri!$B$88*Parametri!$B$91+Parametri!$B$89*Parametri!$B$92)/1000000000)*MIN(B30+1,Parametri!$B$93)</f>
        <v>-2.85975</v>
      </c>
      <c r="U30" s="36">
        <f>IF(B30&lt;Parametri!$B$125,Parametri!$B$46,IF(B30&lt;Parametri!$B$126,Parametri!$B$47,Parametri!$B$48))*Parametri!$B$96*13/1000000000*((B30+1)*Parametri!$B$121+B30*(B30+1)/2*Parametri!$B$122)</f>
        <v>71.229890159999982</v>
      </c>
      <c r="V30" s="35">
        <f>IF(B30&gt;=Parametri!$B$103-1,Parametri!$B$102*(1-Parametri!$B$127)^(B30-(Parametri!$B$103-1)),0)</f>
        <v>4.1120369909946159</v>
      </c>
      <c r="W30" s="35">
        <f>IF(B30&gt;=Parametri!$B$105-1,Parametri!$B$104,0)</f>
        <v>5</v>
      </c>
      <c r="X30" s="35">
        <f>IF(B30&gt;=Parametri!$B$107-1,Parametri!$B$106+Parametri!$B$128*INT((B30-(Parametri!$B$107-1))/2),0)</f>
        <v>4.43</v>
      </c>
      <c r="Y30" s="34">
        <f>IF(AND(B30&gt;=Parametri!$B$109-1,B30&lt;Parametri!$B$109-1+Parametri!$B$140),Parametri!$B$108,0)</f>
        <v>0</v>
      </c>
      <c r="Z30" s="37">
        <f>IF(B30&lt;10,Parametri!$B$52,IF(B30&lt;20,Parametri!$B$55,0))*M30*G30/1000</f>
        <v>0</v>
      </c>
      <c r="AA30" s="38">
        <f>Parametri!$B$159*Parametri!$B$160</f>
        <v>0</v>
      </c>
      <c r="AB30" s="39">
        <f>(SUM(Z$5:Z30)+SUM(AA$5:AA30)-SUM(Z$5:Z15)-SUM(AA$5:AA15))</f>
        <v>68.28834860055639</v>
      </c>
      <c r="AC30" s="39">
        <f>-(Parametri!$B$67*SUM(Z$5:Z30)+Parametri!$B$161*SUM(AA$5:AA30))</f>
        <v>-1.888875035600631</v>
      </c>
      <c r="AD30" s="39">
        <f t="shared" si="10"/>
        <v>-6.6280774698560059</v>
      </c>
      <c r="AE30" s="41">
        <f t="shared" si="6"/>
        <v>54.320711416946793</v>
      </c>
      <c r="AF30" s="41">
        <f t="shared" si="9"/>
        <v>801.52059952858212</v>
      </c>
      <c r="AG30" s="42">
        <f t="shared" si="7"/>
        <v>-0.29358604037486552</v>
      </c>
      <c r="AH30" s="139">
        <f>SUM(Z$5:Z30)-SUM(Z$5:Z15)</f>
        <v>68.28834860055639</v>
      </c>
      <c r="AI30" s="139">
        <f t="shared" si="11"/>
        <v>-6.6280774698560059</v>
      </c>
    </row>
    <row r="31" spans="1:35" ht="15" customHeight="1" x14ac:dyDescent="0.2">
      <c r="A31" s="27">
        <f>Parametri!$B$6+B31</f>
        <v>2053</v>
      </c>
      <c r="B31" s="28">
        <v>26</v>
      </c>
      <c r="C31" s="29">
        <f>C30*(1+Parametri!$B$14)</f>
        <v>26.052677397231275</v>
      </c>
      <c r="D31" s="29">
        <f>D30*(1+Parametri!$B$15)+Parametri!$B$145*(1-Parametri!$B$15)^B30</f>
        <v>18.385204750588407</v>
      </c>
      <c r="E31" s="30">
        <f t="shared" si="0"/>
        <v>0.70569348671020959</v>
      </c>
      <c r="F31" s="31">
        <f>F30*(1+Parametri!$B$20)</f>
        <v>2751.9454375051391</v>
      </c>
      <c r="G31" s="32">
        <f>G30*(1+Parametri!$B$22)</f>
        <v>28123.67180323811</v>
      </c>
      <c r="H31" s="31">
        <f t="shared" si="1"/>
        <v>416.91973378202857</v>
      </c>
      <c r="I31" s="33">
        <f>IF(B31&lt;=(Parametri!$B$35-Parametri!$B$6),Parametri!$B$32+(Parametri!$B$33-Parametri!$B$32)*B31/(Parametri!$B$35-Parametri!$B$6),Parametri!$B$33+(Parametri!$B$34-Parametri!$B$33)*(B31-(Parametri!$B$35-Parametri!$B$6))/(Parametri!$B$36-Parametri!$B$35))</f>
        <v>0.1515</v>
      </c>
      <c r="J31" s="31">
        <f t="shared" si="2"/>
        <v>358.73347088621824</v>
      </c>
      <c r="K31" s="33">
        <f t="shared" si="3"/>
        <v>0.13035631666136488</v>
      </c>
      <c r="L31" s="33">
        <f>IF(B31&lt;=5,Parametri!$B$58+(Parametri!$B$59-Parametri!$B$58)/5*B31,MIN(Parametri!$B$60,Parametri!$B$59+(Parametri!$B$60-Parametri!$B$59)/24*(B31-5)))</f>
        <v>0.95</v>
      </c>
      <c r="M31" s="29">
        <f t="shared" si="4"/>
        <v>17.465944513058986</v>
      </c>
      <c r="N31" s="34">
        <f>IF(B31&lt;Parametri!$B$76,Parametri!$B$75*Parametri!$B$74*Parametri!$B$73/Parametri!$B$76,0)</f>
        <v>0</v>
      </c>
      <c r="O31" s="35">
        <f>IF(B31&lt;10,Parametri!$B$53,IF(B31&lt;20,Parametri!$B$56,Parametri!$B$57))*M31*G31*Parametri!$B$72/1000</f>
        <v>11.936317736617774</v>
      </c>
      <c r="P31" s="35">
        <f>MIN(Parametri!$B$81+Parametri!$B$82,
Parametri!$B$81+Parametri!$B$82*(B31+1)/Parametri!$B$83)</f>
        <v>12.5</v>
      </c>
      <c r="Q31" s="35">
        <f>-IF(B31&lt;10,Parametri!$B$51,IF(B31&lt;20,Parametri!$B$54,Parametri!$B$57))*M31*G31/1000</f>
        <v>-44.208584209695452</v>
      </c>
      <c r="R31" s="35">
        <f t="shared" si="5"/>
        <v>44.208584209695452</v>
      </c>
      <c r="S31" s="35">
        <f t="shared" si="8"/>
        <v>616.43189405401779</v>
      </c>
      <c r="T31" s="36">
        <f>-(Parametri!$B$86*(Parametri!$B$87*Parametri!$B$90+Parametri!$B$88*Parametri!$B$91+Parametri!$B$89*Parametri!$B$92)/1000000000)*MIN(B31+1,Parametri!$B$93)</f>
        <v>-2.85975</v>
      </c>
      <c r="U31" s="36">
        <f>IF(B31&lt;Parametri!$B$125,Parametri!$B$46,IF(B31&lt;Parametri!$B$126,Parametri!$B$47,Parametri!$B$48))*Parametri!$B$96*13/1000000000*((B31+1)*Parametri!$B$121+B31*(B31+1)/2*Parametri!$B$122)</f>
        <v>76.042689839999994</v>
      </c>
      <c r="V31" s="35">
        <f>IF(B31&gt;=Parametri!$B$103-1,Parametri!$B$102*(1-Parametri!$B$127)^(B31-(Parametri!$B$103-1)),0)</f>
        <v>4.0503564361296966</v>
      </c>
      <c r="W31" s="35">
        <f>IF(B31&gt;=Parametri!$B$105-1,Parametri!$B$104,0)</f>
        <v>5</v>
      </c>
      <c r="X31" s="35">
        <f>IF(B31&gt;=Parametri!$B$107-1,Parametri!$B$106+Parametri!$B$128*INT((B31-(Parametri!$B$107-1))/2),0)</f>
        <v>4.43</v>
      </c>
      <c r="Y31" s="34">
        <f>IF(AND(B31&gt;=Parametri!$B$109-1,B31&lt;Parametri!$B$109-1+Parametri!$B$140),Parametri!$B$108,0)</f>
        <v>0</v>
      </c>
      <c r="Z31" s="37">
        <f>IF(B31&lt;10,Parametri!$B$52,IF(B31&lt;20,Parametri!$B$55,0))*M31*G31/1000</f>
        <v>0</v>
      </c>
      <c r="AA31" s="38">
        <f>Parametri!$B$159*Parametri!$B$160</f>
        <v>0</v>
      </c>
      <c r="AB31" s="39">
        <f>(SUM(Z$5:Z31)+SUM(AA$5:AA31)-SUM(Z$5:Z16)-SUM(AA$5:AA16))</f>
        <v>61.472456728915319</v>
      </c>
      <c r="AC31" s="39">
        <f>-(Parametri!$B$67*SUM(Z$5:Z31)+Parametri!$B$161*SUM(AA$5:AA31))</f>
        <v>-1.888875035600631</v>
      </c>
      <c r="AD31" s="39">
        <f t="shared" si="10"/>
        <v>-6.8158918716410648</v>
      </c>
      <c r="AE31" s="41">
        <f t="shared" si="6"/>
        <v>58.186262895810323</v>
      </c>
      <c r="AF31" s="41">
        <f t="shared" si="9"/>
        <v>859.7068624243924</v>
      </c>
      <c r="AG31" s="42">
        <f t="shared" si="7"/>
        <v>-0.31239967577401756</v>
      </c>
      <c r="AH31" s="139">
        <f>SUM(Z$5:Z31)-SUM(Z$5:Z16)</f>
        <v>61.472456728915319</v>
      </c>
      <c r="AI31" s="139">
        <f t="shared" si="11"/>
        <v>-6.8158918716410648</v>
      </c>
    </row>
    <row r="32" spans="1:35" ht="15" customHeight="1" x14ac:dyDescent="0.2">
      <c r="A32" s="27">
        <f>Parametri!$B$6+B32</f>
        <v>2054</v>
      </c>
      <c r="B32" s="28">
        <v>27</v>
      </c>
      <c r="C32" s="29">
        <f>C31*(1+Parametri!$B$14)</f>
        <v>26.208993461614661</v>
      </c>
      <c r="D32" s="29">
        <f>D31*(1+Parametri!$B$15)+Parametri!$B$145*(1-Parametri!$B$15)^B31</f>
        <v>18.425340034979037</v>
      </c>
      <c r="E32" s="30">
        <f t="shared" si="0"/>
        <v>0.70301593466244872</v>
      </c>
      <c r="F32" s="31">
        <f>F31*(1+Parametri!$B$20)</f>
        <v>2773.9610010051802</v>
      </c>
      <c r="G32" s="32">
        <f>G31*(1+Parametri!$B$22)</f>
        <v>28179.919146844586</v>
      </c>
      <c r="H32" s="31">
        <f t="shared" si="1"/>
        <v>416.09415015077701</v>
      </c>
      <c r="I32" s="33">
        <f>IF(B32&lt;=(Parametri!$B$35-Parametri!$B$6),Parametri!$B$32+(Parametri!$B$33-Parametri!$B$32)*B32/(Parametri!$B$35-Parametri!$B$6),Parametri!$B$33+(Parametri!$B$34-Parametri!$B$33)*(B32-(Parametri!$B$35-Parametri!$B$6))/(Parametri!$B$36-Parametri!$B$35))</f>
        <v>0.15</v>
      </c>
      <c r="J32" s="31">
        <f t="shared" si="2"/>
        <v>353.75527440537712</v>
      </c>
      <c r="K32" s="33">
        <f t="shared" si="3"/>
        <v>0.12752712611215131</v>
      </c>
      <c r="L32" s="33">
        <f>IF(B32&lt;=5,Parametri!$B$58+(Parametri!$B$59-Parametri!$B$58)/5*B32,MIN(Parametri!$B$60,Parametri!$B$59+(Parametri!$B$60-Parametri!$B$59)/24*(B32-5)))</f>
        <v>0.96666666666666656</v>
      </c>
      <c r="M32" s="29">
        <f t="shared" si="4"/>
        <v>17.811162033813066</v>
      </c>
      <c r="N32" s="34">
        <f>IF(B32&lt;Parametri!$B$76,Parametri!$B$75*Parametri!$B$74*Parametri!$B$73/Parametri!$B$76,0)</f>
        <v>0</v>
      </c>
      <c r="O32" s="35">
        <f>IF(B32&lt;10,Parametri!$B$53,IF(B32&lt;20,Parametri!$B$56,Parametri!$B$57))*M32*G32*Parametri!$B$72/1000</f>
        <v>12.196585676388064</v>
      </c>
      <c r="P32" s="35">
        <f>MIN(Parametri!$B$81+Parametri!$B$82,
Parametri!$B$81+Parametri!$B$82*(B32+1)/Parametri!$B$83)</f>
        <v>12.5</v>
      </c>
      <c r="Q32" s="35">
        <f>-IF(B32&lt;10,Parametri!$B$51,IF(B32&lt;20,Parametri!$B$54,Parametri!$B$57))*M32*G32/1000</f>
        <v>-45.172539542178015</v>
      </c>
      <c r="R32" s="35">
        <f t="shared" si="5"/>
        <v>45.172539542178015</v>
      </c>
      <c r="S32" s="35">
        <f t="shared" si="8"/>
        <v>661.6044335961958</v>
      </c>
      <c r="T32" s="36">
        <f>-(Parametri!$B$86*(Parametri!$B$87*Parametri!$B$90+Parametri!$B$88*Parametri!$B$91+Parametri!$B$89*Parametri!$B$92)/1000000000)*MIN(B32+1,Parametri!$B$93)</f>
        <v>-2.85975</v>
      </c>
      <c r="U32" s="36">
        <f>IF(B32&lt;Parametri!$B$125,Parametri!$B$46,IF(B32&lt;Parametri!$B$126,Parametri!$B$47,Parametri!$B$48))*Parametri!$B$96*13/1000000000*((B32+1)*Parametri!$B$121+B32*(B32+1)/2*Parametri!$B$122)</f>
        <v>81.009059039999997</v>
      </c>
      <c r="V32" s="35">
        <f>IF(B32&gt;=Parametri!$B$103-1,Parametri!$B$102*(1-Parametri!$B$127)^(B32-(Parametri!$B$103-1)),0)</f>
        <v>3.9896010895877509</v>
      </c>
      <c r="W32" s="35">
        <f>IF(B32&gt;=Parametri!$B$105-1,Parametri!$B$104,0)</f>
        <v>5</v>
      </c>
      <c r="X32" s="35">
        <f>IF(B32&gt;=Parametri!$B$107-1,Parametri!$B$106+Parametri!$B$128*INT((B32-(Parametri!$B$107-1))/2),0)</f>
        <v>4.57</v>
      </c>
      <c r="Y32" s="34">
        <f>IF(AND(B32&gt;=Parametri!$B$109-1,B32&lt;Parametri!$B$109-1+Parametri!$B$140),Parametri!$B$108,0)</f>
        <v>0</v>
      </c>
      <c r="Z32" s="37">
        <f>IF(B32&lt;10,Parametri!$B$52,IF(B32&lt;20,Parametri!$B$55,0))*M32*G32/1000</f>
        <v>0</v>
      </c>
      <c r="AA32" s="38">
        <f>Parametri!$B$159*Parametri!$B$160</f>
        <v>0</v>
      </c>
      <c r="AB32" s="39">
        <f>(SUM(Z$5:Z32)+SUM(AA$5:AA32)-SUM(Z$5:Z17)-SUM(AA$5:AA17))</f>
        <v>54.46725124611801</v>
      </c>
      <c r="AC32" s="39">
        <f>-(Parametri!$B$67*SUM(Z$5:Z32)+Parametri!$B$161*SUM(AA$5:AA32))</f>
        <v>-1.888875035600631</v>
      </c>
      <c r="AD32" s="39">
        <f t="shared" si="10"/>
        <v>-7.0052054827973089</v>
      </c>
      <c r="AE32" s="41">
        <f t="shared" si="6"/>
        <v>62.338875745399861</v>
      </c>
      <c r="AF32" s="41">
        <f t="shared" si="9"/>
        <v>922.04573816979223</v>
      </c>
      <c r="AG32" s="42">
        <f t="shared" si="7"/>
        <v>-0.33239318715572325</v>
      </c>
      <c r="AH32" s="139">
        <f>SUM(Z$5:Z32)-SUM(Z$5:Z17)</f>
        <v>54.46725124611801</v>
      </c>
      <c r="AI32" s="139">
        <f t="shared" si="11"/>
        <v>-7.0052054827973089</v>
      </c>
    </row>
    <row r="33" spans="1:35" ht="15" customHeight="1" x14ac:dyDescent="0.2">
      <c r="A33" s="27">
        <f>Parametri!$B$6+B33</f>
        <v>2055</v>
      </c>
      <c r="B33" s="28">
        <v>28</v>
      </c>
      <c r="C33" s="29">
        <f>C32*(1+Parametri!$B$14)</f>
        <v>26.366247422384347</v>
      </c>
      <c r="D33" s="29">
        <f>D32*(1+Parametri!$B$15)+Parametri!$B$145*(1-Parametri!$B$15)^B32</f>
        <v>18.465934949488435</v>
      </c>
      <c r="E33" s="30">
        <f t="shared" si="0"/>
        <v>0.70036265129679676</v>
      </c>
      <c r="F33" s="31">
        <f>F32*(1+Parametri!$B$20)</f>
        <v>2796.1526890132218</v>
      </c>
      <c r="G33" s="32">
        <f>G32*(1+Parametri!$B$22)</f>
        <v>28236.278985138277</v>
      </c>
      <c r="H33" s="31">
        <f t="shared" si="1"/>
        <v>415.22867431846339</v>
      </c>
      <c r="I33" s="33">
        <f>IF(B33&lt;=(Parametri!$B$35-Parametri!$B$6),Parametri!$B$32+(Parametri!$B$33-Parametri!$B$32)*B33/(Parametri!$B$35-Parametri!$B$6),Parametri!$B$33+(Parametri!$B$34-Parametri!$B$33)*(B33-(Parametri!$B$35-Parametri!$B$6))/(Parametri!$B$36-Parametri!$B$35))</f>
        <v>0.14849999999999999</v>
      </c>
      <c r="J33" s="31">
        <f t="shared" si="2"/>
        <v>348.73022938888721</v>
      </c>
      <c r="K33" s="33">
        <f t="shared" si="3"/>
        <v>0.12471787780371754</v>
      </c>
      <c r="L33" s="33">
        <f>IF(B33&lt;=5,Parametri!$B$58+(Parametri!$B$59-Parametri!$B$58)/5*B33,MIN(Parametri!$B$60,Parametri!$B$59+(Parametri!$B$60-Parametri!$B$59)/24*(B33-5)))</f>
        <v>0.98333333333333328</v>
      </c>
      <c r="M33" s="29">
        <f t="shared" si="4"/>
        <v>18.158169366996962</v>
      </c>
      <c r="N33" s="34">
        <f>IF(B33&lt;Parametri!$B$76,Parametri!$B$75*Parametri!$B$74*Parametri!$B$73/Parametri!$B$76,0)</f>
        <v>0</v>
      </c>
      <c r="O33" s="35">
        <f>IF(B33&lt;10,Parametri!$B$53,IF(B33&lt;20,Parametri!$B$56,Parametri!$B$57))*M33*G33*Parametri!$B$72/1000</f>
        <v>12.459075007373803</v>
      </c>
      <c r="P33" s="35">
        <f>MIN(Parametri!$B$81+Parametri!$B$82,
Parametri!$B$81+Parametri!$B$82*(B33+1)/Parametri!$B$83)</f>
        <v>12.5</v>
      </c>
      <c r="Q33" s="35">
        <f>-IF(B33&lt;10,Parametri!$B$51,IF(B33&lt;20,Parametri!$B$54,Parametri!$B$57))*M33*G33/1000</f>
        <v>-46.144722249532606</v>
      </c>
      <c r="R33" s="35">
        <f t="shared" si="5"/>
        <v>46.144722249532606</v>
      </c>
      <c r="S33" s="35">
        <f t="shared" si="8"/>
        <v>707.74915584572841</v>
      </c>
      <c r="T33" s="36">
        <f>-(Parametri!$B$86*(Parametri!$B$87*Parametri!$B$90+Parametri!$B$88*Parametri!$B$91+Parametri!$B$89*Parametri!$B$92)/1000000000)*MIN(B33+1,Parametri!$B$93)</f>
        <v>-2.85975</v>
      </c>
      <c r="U33" s="36">
        <f>IF(B33&lt;Parametri!$B$125,Parametri!$B$46,IF(B33&lt;Parametri!$B$126,Parametri!$B$47,Parametri!$B$48))*Parametri!$B$96*13/1000000000*((B33+1)*Parametri!$B$121+B33*(B33+1)/2*Parametri!$B$122)</f>
        <v>86.12899775999999</v>
      </c>
      <c r="V33" s="35">
        <f>IF(B33&gt;=Parametri!$B$103-1,Parametri!$B$102*(1-Parametri!$B$127)^(B33-(Parametri!$B$103-1)),0)</f>
        <v>3.9297570732439344</v>
      </c>
      <c r="W33" s="35">
        <f>IF(B33&gt;=Parametri!$B$105-1,Parametri!$B$104,0)</f>
        <v>5</v>
      </c>
      <c r="X33" s="35">
        <f>IF(B33&gt;=Parametri!$B$107-1,Parametri!$B$106+Parametri!$B$128*INT((B33-(Parametri!$B$107-1))/2),0)</f>
        <v>4.57</v>
      </c>
      <c r="Y33" s="34">
        <f>IF(AND(B33&gt;=Parametri!$B$109-1,B33&lt;Parametri!$B$109-1+Parametri!$B$140),Parametri!$B$108,0)</f>
        <v>0</v>
      </c>
      <c r="Z33" s="37">
        <f>IF(B33&lt;10,Parametri!$B$52,IF(B33&lt;20,Parametri!$B$55,0))*M33*G33/1000</f>
        <v>0</v>
      </c>
      <c r="AA33" s="38">
        <f>Parametri!$B$159*Parametri!$B$160</f>
        <v>0</v>
      </c>
      <c r="AB33" s="39">
        <f>(SUM(Z$5:Z33)+SUM(AA$5:AA33)-SUM(Z$5:Z18)-SUM(AA$5:AA18))</f>
        <v>47.271213620209721</v>
      </c>
      <c r="AC33" s="39">
        <f>-(Parametri!$B$67*SUM(Z$5:Z33)+Parametri!$B$161*SUM(AA$5:AA33))</f>
        <v>-1.888875035600631</v>
      </c>
      <c r="AD33" s="39">
        <f t="shared" si="10"/>
        <v>-7.1960376259082874</v>
      </c>
      <c r="AE33" s="41">
        <f t="shared" si="6"/>
        <v>66.498444929576209</v>
      </c>
      <c r="AF33" s="41">
        <f t="shared" si="9"/>
        <v>988.54418309936841</v>
      </c>
      <c r="AG33" s="42">
        <f t="shared" si="7"/>
        <v>-0.35353726818410308</v>
      </c>
      <c r="AH33" s="139">
        <f>SUM(Z$5:Z33)-SUM(Z$5:Z18)</f>
        <v>47.271213620209721</v>
      </c>
      <c r="AI33" s="139">
        <f t="shared" si="11"/>
        <v>-7.1960376259082874</v>
      </c>
    </row>
    <row r="34" spans="1:35" ht="15" customHeight="1" x14ac:dyDescent="0.2">
      <c r="A34" s="27">
        <f>Parametri!$B$6+B34</f>
        <v>2056</v>
      </c>
      <c r="B34" s="28">
        <v>29</v>
      </c>
      <c r="C34" s="29">
        <f>C33*(1+Parametri!$B$14)</f>
        <v>26.524444906918653</v>
      </c>
      <c r="D34" s="29">
        <f>D33*(1+Parametri!$B$15)+Parametri!$B$145*(1-Parametri!$B$15)^B33</f>
        <v>18.506990497498705</v>
      </c>
      <c r="E34" s="30">
        <f t="shared" si="0"/>
        <v>0.69773337622878318</v>
      </c>
      <c r="F34" s="31">
        <f>F33*(1+Parametri!$B$20)</f>
        <v>2818.5219105253277</v>
      </c>
      <c r="G34" s="32">
        <f>G33*(1+Parametri!$B$22)</f>
        <v>28292.751543108552</v>
      </c>
      <c r="H34" s="31">
        <f t="shared" si="1"/>
        <v>414.32272084722314</v>
      </c>
      <c r="I34" s="33">
        <f>IF(B34&lt;=(Parametri!$B$35-Parametri!$B$6),Parametri!$B$32+(Parametri!$B$33-Parametri!$B$32)*B34/(Parametri!$B$35-Parametri!$B$6),Parametri!$B$33+(Parametri!$B$34-Parametri!$B$33)*(B34-(Parametri!$B$35-Parametri!$B$6))/(Parametri!$B$36-Parametri!$B$35))</f>
        <v>0.14699999999999999</v>
      </c>
      <c r="J34" s="31">
        <f t="shared" si="2"/>
        <v>343.37785598437779</v>
      </c>
      <c r="K34" s="33">
        <f t="shared" si="3"/>
        <v>0.12182905327153466</v>
      </c>
      <c r="L34" s="33">
        <f>IF(B34&lt;=5,Parametri!$B$58+(Parametri!$B$59-Parametri!$B$58)/5*B34,MIN(Parametri!$B$60,Parametri!$B$59+(Parametri!$B$60-Parametri!$B$59)/24*(B34-5)))</f>
        <v>1</v>
      </c>
      <c r="M34" s="29">
        <f t="shared" si="4"/>
        <v>18.506990497498705</v>
      </c>
      <c r="N34" s="34">
        <f>IF(B34&lt;Parametri!$B$76,Parametri!$B$75*Parametri!$B$74*Parametri!$B$73/Parametri!$B$76,0)</f>
        <v>0</v>
      </c>
      <c r="O34" s="35">
        <f>IF(B34&lt;10,Parametri!$B$53,IF(B34&lt;20,Parametri!$B$56,Parametri!$B$57))*M34*G34*Parametri!$B$72/1000</f>
        <v>12.723812520140566</v>
      </c>
      <c r="P34" s="35">
        <f>MIN(Parametri!$B$81+Parametri!$B$82,
Parametri!$B$81+Parametri!$B$82*(B34+1)/Parametri!$B$83)</f>
        <v>12.5</v>
      </c>
      <c r="Q34" s="35">
        <f>-IF(B34&lt;10,Parametri!$B$51,IF(B34&lt;20,Parametri!$B$54,Parametri!$B$57))*M34*G34/1000</f>
        <v>-47.125231556076166</v>
      </c>
      <c r="R34" s="35">
        <f t="shared" si="5"/>
        <v>47.125231556076166</v>
      </c>
      <c r="S34" s="35">
        <f t="shared" si="8"/>
        <v>754.8743874018046</v>
      </c>
      <c r="T34" s="36">
        <f>-(Parametri!$B$86*(Parametri!$B$87*Parametri!$B$90+Parametri!$B$88*Parametri!$B$91+Parametri!$B$89*Parametri!$B$92)/1000000000)*MIN(B34+1,Parametri!$B$93)</f>
        <v>-2.85975</v>
      </c>
      <c r="U34" s="36">
        <f>IF(B34&lt;Parametri!$B$125,Parametri!$B$46,IF(B34&lt;Parametri!$B$126,Parametri!$B$47,Parametri!$B$48))*Parametri!$B$96*13/1000000000*((B34+1)*Parametri!$B$121+B34*(B34+1)/2*Parametri!$B$122)</f>
        <v>91.402505999999988</v>
      </c>
      <c r="V34" s="35">
        <f>IF(B34&gt;=Parametri!$B$103-1,Parametri!$B$102*(1-Parametri!$B$127)^(B34-(Parametri!$B$103-1)),0)</f>
        <v>3.8708107171452752</v>
      </c>
      <c r="W34" s="35">
        <f>IF(B34&gt;=Parametri!$B$105-1,Parametri!$B$104,0)</f>
        <v>5</v>
      </c>
      <c r="X34" s="35">
        <f>IF(B34&gt;=Parametri!$B$107-1,Parametri!$B$106+Parametri!$B$128*INT((B34-(Parametri!$B$107-1))/2),0)</f>
        <v>4.71</v>
      </c>
      <c r="Y34" s="34">
        <f>IF(AND(B34&gt;=Parametri!$B$109-1,B34&lt;Parametri!$B$109-1+Parametri!$B$140),Parametri!$B$108,0)</f>
        <v>0</v>
      </c>
      <c r="Z34" s="37">
        <f>IF(B34&lt;10,Parametri!$B$52,IF(B34&lt;20,Parametri!$B$55,0))*M34*G34/1000</f>
        <v>0</v>
      </c>
      <c r="AA34" s="38">
        <f>Parametri!$B$159*Parametri!$B$160</f>
        <v>0</v>
      </c>
      <c r="AB34" s="39">
        <f>(SUM(Z$5:Z34)+SUM(AA$5:AA34)-SUM(Z$5:Z19)-SUM(AA$5:AA19))</f>
        <v>39.882805837446057</v>
      </c>
      <c r="AC34" s="39">
        <f>-(Parametri!$B$67*SUM(Z$5:Z34)+Parametri!$B$161*SUM(AA$5:AA34))</f>
        <v>-1.888875035600631</v>
      </c>
      <c r="AD34" s="39">
        <f t="shared" si="10"/>
        <v>-7.3884077827636716</v>
      </c>
      <c r="AE34" s="41">
        <f t="shared" si="6"/>
        <v>70.94486486284535</v>
      </c>
      <c r="AF34" s="41">
        <f t="shared" si="9"/>
        <v>1059.4890479622138</v>
      </c>
      <c r="AG34" s="42">
        <f t="shared" si="7"/>
        <v>-0.37590236357777396</v>
      </c>
      <c r="AH34" s="139">
        <f>SUM(Z$5:Z34)-SUM(Z$5:Z19)</f>
        <v>39.882805837446057</v>
      </c>
      <c r="AI34" s="139">
        <f t="shared" si="11"/>
        <v>-7.3884077827636716</v>
      </c>
    </row>
    <row r="35" spans="1:35" ht="15" customHeight="1" x14ac:dyDescent="0.2">
      <c r="A35" s="27">
        <f>Parametri!$B$6+B35</f>
        <v>2057</v>
      </c>
      <c r="B35" s="44">
        <v>30</v>
      </c>
      <c r="C35" s="29">
        <f>C34*(1+Parametri!$B$14)</f>
        <v>26.683591576360165</v>
      </c>
      <c r="D35" s="29">
        <f>D34*(1+Parametri!$B$15)+Parametri!$B$145*(1-Parametri!$B$15)^B34</f>
        <v>18.548507693882712</v>
      </c>
      <c r="E35" s="30">
        <f t="shared" si="0"/>
        <v>0.69512785191613491</v>
      </c>
      <c r="F35" s="31">
        <f>F34*(1+Parametri!$B$20)</f>
        <v>2841.0700858095302</v>
      </c>
      <c r="G35" s="32">
        <f>G34*(1+Parametri!$B$22)</f>
        <v>28349.337046194771</v>
      </c>
      <c r="H35" s="31">
        <f t="shared" si="1"/>
        <v>413.37569748528659</v>
      </c>
      <c r="I35" s="33">
        <f>IF(B35&lt;=(Parametri!$B$35-Parametri!$B$6),Parametri!$B$32+(Parametri!$B$33-Parametri!$B$32)*B35/(Parametri!$B$35-Parametri!$B$6),Parametri!$B$33+(Parametri!$B$34-Parametri!$B$33)*(B35-(Parametri!$B$35-Parametri!$B$6))/(Parametri!$B$36-Parametri!$B$35))</f>
        <v>0.14549999999999999</v>
      </c>
      <c r="J35" s="31">
        <f t="shared" si="2"/>
        <v>337.40187558838227</v>
      </c>
      <c r="K35" s="33">
        <f t="shared" si="3"/>
        <v>0.1187587301255342</v>
      </c>
      <c r="L35" s="33">
        <f>IF(B35&lt;=5,Parametri!$B$58+(Parametri!$B$59-Parametri!$B$58)/5*B35,MIN(Parametri!$B$60,Parametri!$B$59+(Parametri!$B$60-Parametri!$B$59)/24*(B35-5)))</f>
        <v>1</v>
      </c>
      <c r="M35" s="29">
        <f t="shared" si="4"/>
        <v>18.548507693882712</v>
      </c>
      <c r="N35" s="34">
        <f>IF(B35&lt;Parametri!$B$76,Parametri!$B$75*Parametri!$B$74*Parametri!$B$73/Parametri!$B$76,0)</f>
        <v>0</v>
      </c>
      <c r="O35" s="35">
        <f>IF(B35&lt;10,Parametri!$B$53,IF(B35&lt;20,Parametri!$B$56,Parametri!$B$57))*M35*G35*Parametri!$B$72/1000</f>
        <v>12.777860880522976</v>
      </c>
      <c r="P35" s="35">
        <f>MIN(Parametri!$B$81+Parametri!$B$82,
Parametri!$B$81+Parametri!$B$82*(B35+1)/Parametri!$B$83)</f>
        <v>12.5</v>
      </c>
      <c r="Q35" s="35">
        <f>-IF(B35&lt;10,Parametri!$B$51,IF(B35&lt;20,Parametri!$B$54,Parametri!$B$57))*M35*G35/1000</f>
        <v>-47.32541066860361</v>
      </c>
      <c r="R35" s="35">
        <f t="shared" si="5"/>
        <v>47.32541066860361</v>
      </c>
      <c r="S35" s="35">
        <f t="shared" si="8"/>
        <v>802.19979807040818</v>
      </c>
      <c r="T35" s="36">
        <f>-(Parametri!$B$86*(Parametri!$B$87*Parametri!$B$90+Parametri!$B$88*Parametri!$B$91+Parametri!$B$89*Parametri!$B$92)/1000000000)*MIN(B35+1,Parametri!$B$93)</f>
        <v>-2.85975</v>
      </c>
      <c r="U35" s="36">
        <f>IF(B35&lt;Parametri!$B$125,Parametri!$B$46,IF(B35&lt;Parametri!$B$126,Parametri!$B$47,Parametri!$B$48))*Parametri!$B$96*13/1000000000*((B35+1)*Parametri!$B$121+B35*(B35+1)/2*Parametri!$B$122)</f>
        <v>96.829583760000006</v>
      </c>
      <c r="V35" s="35">
        <f>IF(B35&gt;=Parametri!$B$103-1,Parametri!$B$102*(1-Parametri!$B$127)^(B35-(Parametri!$B$103-1)),0)</f>
        <v>3.8127485563880965</v>
      </c>
      <c r="W35" s="35">
        <f>IF(B35&gt;=Parametri!$B$105-1,Parametri!$B$104,0)</f>
        <v>5</v>
      </c>
      <c r="X35" s="35">
        <f>IF(B35&gt;=Parametri!$B$107-1,Parametri!$B$106+Parametri!$B$128*INT((B35-(Parametri!$B$107-1))/2),0)</f>
        <v>4.71</v>
      </c>
      <c r="Y35" s="34">
        <f>IF(AND(B35&gt;=Parametri!$B$109-1,B35&lt;Parametri!$B$109-1+Parametri!$B$140),Parametri!$B$108,0)</f>
        <v>0</v>
      </c>
      <c r="Z35" s="37">
        <f>IF(B35&lt;10,Parametri!$B$52,IF(B35&lt;20,Parametri!$B$55,0))*M35*G35/1000</f>
        <v>0</v>
      </c>
      <c r="AA35" s="38">
        <f>Parametri!$B$159*Parametri!$B$160</f>
        <v>0</v>
      </c>
      <c r="AB35" s="39">
        <f>(SUM(Z$5:Z35)+SUM(AA$5:AA35)-SUM(Z$5:Z20)-SUM(AA$5:AA20))</f>
        <v>32.30047024164358</v>
      </c>
      <c r="AC35" s="39">
        <f>-(Parametri!$B$67*SUM(Z$5:Z35)+Parametri!$B$161*SUM(AA$5:AA35))</f>
        <v>-1.888875035600631</v>
      </c>
      <c r="AD35" s="39">
        <f t="shared" si="10"/>
        <v>-7.5823355958024701</v>
      </c>
      <c r="AE35" s="41">
        <f t="shared" si="6"/>
        <v>75.973821896904354</v>
      </c>
      <c r="AF35" s="41">
        <f t="shared" si="9"/>
        <v>1135.4628698591182</v>
      </c>
      <c r="AG35" s="42">
        <f t="shared" si="7"/>
        <v>-0.3996602813603527</v>
      </c>
      <c r="AH35" s="139">
        <f>SUM(Z$5:Z35)-SUM(Z$5:Z20)</f>
        <v>32.30047024164358</v>
      </c>
      <c r="AI35" s="139">
        <f t="shared" si="11"/>
        <v>-7.5823355958024701</v>
      </c>
    </row>
    <row r="36" spans="1:35" ht="15" customHeight="1" x14ac:dyDescent="0.2">
      <c r="A36" s="27">
        <f>Parametri!$B$6+B36</f>
        <v>2058</v>
      </c>
      <c r="B36" s="44">
        <v>31</v>
      </c>
      <c r="C36" s="29">
        <f>C35*(1+Parametri!$B$14)</f>
        <v>26.843693125818326</v>
      </c>
      <c r="D36" s="29">
        <f>D35*(1+Parametri!$B$15)+Parametri!$B$145*(1-Parametri!$B$15)^B35</f>
        <v>18.590487565029161</v>
      </c>
      <c r="E36" s="30">
        <f t="shared" si="0"/>
        <v>0.69254582362770289</v>
      </c>
      <c r="F36" s="31">
        <f>F35*(1+Parametri!$B$20)</f>
        <v>2863.7986464960063</v>
      </c>
      <c r="G36" s="32">
        <f>G35*(1+Parametri!$B$22)</f>
        <v>28406.03572028716</v>
      </c>
      <c r="H36" s="31">
        <f t="shared" si="1"/>
        <v>412.38700509542485</v>
      </c>
      <c r="I36" s="33">
        <f>IF(B36&lt;=(Parametri!$B$35-Parametri!$B$6),Parametri!$B$32+(Parametri!$B$33-Parametri!$B$32)*B36/(Parametri!$B$35-Parametri!$B$6),Parametri!$B$33+(Parametri!$B$34-Parametri!$B$33)*(B36-(Parametri!$B$35-Parametri!$B$6))/(Parametri!$B$36-Parametri!$B$35))</f>
        <v>0.14399999999999999</v>
      </c>
      <c r="J36" s="31">
        <f t="shared" si="2"/>
        <v>331.09267356916735</v>
      </c>
      <c r="K36" s="33">
        <f t="shared" si="3"/>
        <v>0.11561311196730781</v>
      </c>
      <c r="L36" s="33">
        <f>IF(B36&lt;=5,Parametri!$B$58+(Parametri!$B$59-Parametri!$B$58)/5*B36,MIN(Parametri!$B$60,Parametri!$B$59+(Parametri!$B$60-Parametri!$B$59)/24*(B36-5)))</f>
        <v>1</v>
      </c>
      <c r="M36" s="29">
        <f t="shared" si="4"/>
        <v>18.590487565029161</v>
      </c>
      <c r="N36" s="34">
        <f>IF(B36&lt;Parametri!$B$76,Parametri!$B$75*Parametri!$B$74*Parametri!$B$73/Parametri!$B$76,0)</f>
        <v>0</v>
      </c>
      <c r="O36" s="35">
        <f>IF(B36&lt;10,Parametri!$B$53,IF(B36&lt;20,Parametri!$B$56,Parametri!$B$57))*M36*G36*Parametri!$B$72/1000</f>
        <v>12.832393908063473</v>
      </c>
      <c r="P36" s="35">
        <f>MIN(Parametri!$B$81+Parametri!$B$82,
Parametri!$B$81+Parametri!$B$82*(B36+1)/Parametri!$B$83)</f>
        <v>12.5</v>
      </c>
      <c r="Q36" s="35">
        <f>-IF(B36&lt;10,Parametri!$B$51,IF(B36&lt;20,Parametri!$B$54,Parametri!$B$57))*M36*G36/1000</f>
        <v>-47.527384844679531</v>
      </c>
      <c r="R36" s="35">
        <f t="shared" si="5"/>
        <v>47.527384844679531</v>
      </c>
      <c r="S36" s="35">
        <f t="shared" si="8"/>
        <v>849.72718291508772</v>
      </c>
      <c r="T36" s="36">
        <f>-(Parametri!$B$86*(Parametri!$B$87*Parametri!$B$90+Parametri!$B$88*Parametri!$B$91+Parametri!$B$89*Parametri!$B$92)/1000000000)*MIN(B36+1,Parametri!$B$93)</f>
        <v>-2.85975</v>
      </c>
      <c r="U36" s="36">
        <f>IF(B36&lt;Parametri!$B$125,Parametri!$B$46,IF(B36&lt;Parametri!$B$126,Parametri!$B$47,Parametri!$B$48))*Parametri!$B$96*13/1000000000*((B36+1)*Parametri!$B$121+B36*(B36+1)/2*Parametri!$B$122)</f>
        <v>102.41023103999999</v>
      </c>
      <c r="V36" s="35">
        <f>IF(B36&gt;=Parametri!$B$103-1,Parametri!$B$102*(1-Parametri!$B$127)^(B36-(Parametri!$B$103-1)),0)</f>
        <v>3.7555573280422747</v>
      </c>
      <c r="W36" s="35">
        <f>IF(B36&gt;=Parametri!$B$105-1,Parametri!$B$104,0)</f>
        <v>5</v>
      </c>
      <c r="X36" s="35">
        <f>IF(B36&gt;=Parametri!$B$107-1,Parametri!$B$106+Parametri!$B$128*INT((B36-(Parametri!$B$107-1))/2),0)</f>
        <v>4.8499999999999996</v>
      </c>
      <c r="Y36" s="34">
        <f>IF(AND(B36&gt;=Parametri!$B$109-1,B36&lt;Parametri!$B$109-1+Parametri!$B$140),Parametri!$B$108,0)</f>
        <v>0</v>
      </c>
      <c r="Z36" s="37">
        <f>IF(B36&lt;10,Parametri!$B$52,IF(B36&lt;20,Parametri!$B$55,0))*M36*G36/1000</f>
        <v>0</v>
      </c>
      <c r="AA36" s="38">
        <f>Parametri!$B$159*Parametri!$B$160</f>
        <v>0</v>
      </c>
      <c r="AB36" s="39">
        <f>(SUM(Z$5:Z36)+SUM(AA$5:AA36)-SUM(Z$5:Z21)-SUM(AA$5:AA21))</f>
        <v>24.522629372075542</v>
      </c>
      <c r="AC36" s="39">
        <f>-(Parametri!$B$67*SUM(Z$5:Z36)+Parametri!$B$161*SUM(AA$5:AA36))</f>
        <v>-1.888875035600631</v>
      </c>
      <c r="AD36" s="39">
        <f t="shared" si="10"/>
        <v>-7.7778408695680321</v>
      </c>
      <c r="AE36" s="41">
        <f t="shared" si="6"/>
        <v>81.294331526257523</v>
      </c>
      <c r="AF36" s="41">
        <f t="shared" si="9"/>
        <v>1216.7572013853758</v>
      </c>
      <c r="AG36" s="42">
        <f t="shared" si="7"/>
        <v>-0.42487526239812146</v>
      </c>
      <c r="AH36" s="139">
        <f>SUM(Z$5:Z36)-SUM(Z$5:Z21)</f>
        <v>24.522629372075542</v>
      </c>
      <c r="AI36" s="139">
        <f t="shared" si="11"/>
        <v>-7.7778408695680321</v>
      </c>
    </row>
    <row r="37" spans="1:35" ht="15" customHeight="1" x14ac:dyDescent="0.2">
      <c r="A37" s="27">
        <f>Parametri!$B$6+B37</f>
        <v>2059</v>
      </c>
      <c r="B37" s="44">
        <v>32</v>
      </c>
      <c r="C37" s="29">
        <f>C36*(1+Parametri!$B$14)</f>
        <v>27.004755284573235</v>
      </c>
      <c r="D37" s="29">
        <f>D36*(1+Parametri!$B$15)+Parametri!$B$145*(1-Parametri!$B$15)^B36</f>
        <v>18.632931148867954</v>
      </c>
      <c r="E37" s="30">
        <f t="shared" si="0"/>
        <v>0.68998703941272965</v>
      </c>
      <c r="F37" s="31">
        <f>F36*(1+Parametri!$B$20)</f>
        <v>2886.7090356679746</v>
      </c>
      <c r="G37" s="32">
        <f>G36*(1+Parametri!$B$22)</f>
        <v>28462.847791727734</v>
      </c>
      <c r="H37" s="31">
        <f t="shared" si="1"/>
        <v>411.35603758268633</v>
      </c>
      <c r="I37" s="33">
        <f>IF(B37&lt;=(Parametri!$B$35-Parametri!$B$6),Parametri!$B$32+(Parametri!$B$33-Parametri!$B$32)*B37/(Parametri!$B$35-Parametri!$B$6),Parametri!$B$33+(Parametri!$B$34-Parametri!$B$33)*(B37-(Parametri!$B$35-Parametri!$B$6))/(Parametri!$B$36-Parametri!$B$35))</f>
        <v>0.14249999999999999</v>
      </c>
      <c r="J37" s="31">
        <f t="shared" si="2"/>
        <v>324.72968518884119</v>
      </c>
      <c r="K37" s="33">
        <f t="shared" si="3"/>
        <v>0.1124913114472238</v>
      </c>
      <c r="L37" s="33">
        <f>IF(B37&lt;=5,Parametri!$B$58+(Parametri!$B$59-Parametri!$B$58)/5*B37,MIN(Parametri!$B$60,Parametri!$B$59+(Parametri!$B$60-Parametri!$B$59)/24*(B37-5)))</f>
        <v>1</v>
      </c>
      <c r="M37" s="29">
        <f t="shared" si="4"/>
        <v>18.632931148867954</v>
      </c>
      <c r="N37" s="34">
        <f>IF(B37&lt;Parametri!$B$76,Parametri!$B$75*Parametri!$B$74*Parametri!$B$73/Parametri!$B$76,0)</f>
        <v>0</v>
      </c>
      <c r="O37" s="35">
        <f>IF(B37&lt;10,Parametri!$B$53,IF(B37&lt;20,Parametri!$B$56,Parametri!$B$57))*M37*G37*Parametri!$B$72/1000</f>
        <v>12.887414681856498</v>
      </c>
      <c r="P37" s="35">
        <f>MIN(Parametri!$B$81+Parametri!$B$82,
Parametri!$B$81+Parametri!$B$82*(B37+1)/Parametri!$B$83)</f>
        <v>12.5</v>
      </c>
      <c r="Q37" s="35">
        <f>-IF(B37&lt;10,Parametri!$B$51,IF(B37&lt;20,Parametri!$B$54,Parametri!$B$57))*M37*G37/1000</f>
        <v>-47.731165488357398</v>
      </c>
      <c r="R37" s="35">
        <f t="shared" si="5"/>
        <v>47.731165488357398</v>
      </c>
      <c r="S37" s="35">
        <f t="shared" si="8"/>
        <v>897.45834840344514</v>
      </c>
      <c r="T37" s="36">
        <f>-(Parametri!$B$86*(Parametri!$B$87*Parametri!$B$90+Parametri!$B$88*Parametri!$B$91+Parametri!$B$89*Parametri!$B$92)/1000000000)*MIN(B37+1,Parametri!$B$93)</f>
        <v>-2.85975</v>
      </c>
      <c r="U37" s="36">
        <f>IF(B37&lt;Parametri!$B$125,Parametri!$B$46,IF(B37&lt;Parametri!$B$126,Parametri!$B$47,Parametri!$B$48))*Parametri!$B$96*13/1000000000*((B37+1)*Parametri!$B$121+B37*(B37+1)/2*Parametri!$B$122)</f>
        <v>108.14444783999998</v>
      </c>
      <c r="V37" s="35">
        <f>IF(B37&gt;=Parametri!$B$103-1,Parametri!$B$102*(1-Parametri!$B$127)^(B37-(Parametri!$B$103-1)),0)</f>
        <v>3.699223968121641</v>
      </c>
      <c r="W37" s="35">
        <f>IF(B37&gt;=Parametri!$B$105-1,Parametri!$B$104,0)</f>
        <v>5</v>
      </c>
      <c r="X37" s="35">
        <f>IF(B37&gt;=Parametri!$B$107-1,Parametri!$B$106+Parametri!$B$128*INT((B37-(Parametri!$B$107-1))/2),0)</f>
        <v>4.8499999999999996</v>
      </c>
      <c r="Y37" s="34">
        <f>IF(AND(B37&gt;=Parametri!$B$109-1,B37&lt;Parametri!$B$109-1+Parametri!$B$140),Parametri!$B$108,0)</f>
        <v>0</v>
      </c>
      <c r="Z37" s="37">
        <f>IF(B37&lt;10,Parametri!$B$52,IF(B37&lt;20,Parametri!$B$55,0))*M37*G37/1000</f>
        <v>0</v>
      </c>
      <c r="AA37" s="38">
        <f>Parametri!$B$159*Parametri!$B$160</f>
        <v>0</v>
      </c>
      <c r="AB37" s="39">
        <f>(SUM(Z$5:Z37)+SUM(AA$5:AA37)-SUM(Z$5:Z22)-SUM(AA$5:AA22))</f>
        <v>16.547685799900592</v>
      </c>
      <c r="AC37" s="39">
        <f>-(Parametri!$B$67*SUM(Z$5:Z37)+Parametri!$B$161*SUM(AA$5:AA37))</f>
        <v>-1.888875035600631</v>
      </c>
      <c r="AD37" s="39">
        <f t="shared" si="10"/>
        <v>-7.9749435721749471</v>
      </c>
      <c r="AE37" s="41">
        <f t="shared" si="6"/>
        <v>86.626352393845139</v>
      </c>
      <c r="AF37" s="41">
        <f t="shared" si="9"/>
        <v>1303.3835537792208</v>
      </c>
      <c r="AG37" s="42">
        <f t="shared" si="7"/>
        <v>-0.45151192505884902</v>
      </c>
      <c r="AH37" s="139">
        <f>SUM(Z$5:Z37)-SUM(Z$5:Z22)</f>
        <v>16.547685799900592</v>
      </c>
      <c r="AI37" s="139">
        <f t="shared" si="11"/>
        <v>-7.9749435721749471</v>
      </c>
    </row>
    <row r="38" spans="1:35" ht="15" customHeight="1" x14ac:dyDescent="0.2">
      <c r="A38" s="27">
        <f>Parametri!$B$6+B38</f>
        <v>2060</v>
      </c>
      <c r="B38" s="44">
        <v>33</v>
      </c>
      <c r="C38" s="29">
        <f>C37*(1+Parametri!$B$14)</f>
        <v>27.166783816280674</v>
      </c>
      <c r="D38" s="29">
        <f>D37*(1+Parametri!$B$15)+Parametri!$B$145*(1-Parametri!$B$15)^B37</f>
        <v>18.675839494895875</v>
      </c>
      <c r="E38" s="30">
        <f t="shared" si="0"/>
        <v>0.68745125007045205</v>
      </c>
      <c r="F38" s="31">
        <f>F37*(1+Parametri!$B$20)</f>
        <v>2909.8027079533185</v>
      </c>
      <c r="G38" s="32">
        <f>G37*(1+Parametri!$B$22)</f>
        <v>28519.773487311191</v>
      </c>
      <c r="H38" s="31">
        <f t="shared" si="1"/>
        <v>410.28218182141785</v>
      </c>
      <c r="I38" s="43">
        <f>IF(B38&lt;=(Parametri!$B$35-Parametri!$B$6),Parametri!$B$32+(Parametri!$B$33-Parametri!$B$32)*B38/(Parametri!$B$35-Parametri!$B$6),Parametri!$B$33+(Parametri!$B$34-Parametri!$B$33)*(B38-(Parametri!$B$35-Parametri!$B$6))/(Parametri!$B$36-Parametri!$B$35))</f>
        <v>0.14099999999999999</v>
      </c>
      <c r="J38" s="31">
        <f t="shared" si="2"/>
        <v>318.03233870885015</v>
      </c>
      <c r="K38" s="43">
        <f t="shared" si="3"/>
        <v>0.10929687357825921</v>
      </c>
      <c r="L38" s="33">
        <f>IF(B38&lt;=5,Parametri!$B$58+(Parametri!$B$59-Parametri!$B$58)/5*B38,MIN(Parametri!$B$60,Parametri!$B$59+(Parametri!$B$60-Parametri!$B$59)/24*(B38-5)))</f>
        <v>1</v>
      </c>
      <c r="M38" s="29">
        <f t="shared" si="4"/>
        <v>18.675839494895875</v>
      </c>
      <c r="N38" s="34">
        <f>IF(B38&lt;Parametri!$B$76,Parametri!$B$75*Parametri!$B$74*Parametri!$B$73/Parametri!$B$76,0)</f>
        <v>0</v>
      </c>
      <c r="O38" s="35">
        <f>IF(B38&lt;10,Parametri!$B$53,IF(B38&lt;20,Parametri!$B$56,Parametri!$B$57))*M38*G38*Parametri!$B$72/1000</f>
        <v>12.9429263035394</v>
      </c>
      <c r="P38" s="35">
        <f>MIN(Parametri!$B$81+Parametri!$B$82,
Parametri!$B$81+Parametri!$B$82*(B38+1)/Parametri!$B$83)</f>
        <v>12.5</v>
      </c>
      <c r="Q38" s="35">
        <f>-IF(B38&lt;10,Parametri!$B$51,IF(B38&lt;20,Parametri!$B$54,Parametri!$B$57))*M38*G38/1000</f>
        <v>-47.936764087182958</v>
      </c>
      <c r="R38" s="35">
        <f t="shared" si="5"/>
        <v>47.936764087182958</v>
      </c>
      <c r="S38" s="35">
        <f t="shared" si="8"/>
        <v>945.39511249062809</v>
      </c>
      <c r="T38" s="36">
        <f>-(Parametri!$B$86*(Parametri!$B$87*Parametri!$B$90+Parametri!$B$88*Parametri!$B$91+Parametri!$B$89*Parametri!$B$92)/1000000000)*MIN(B38+1,Parametri!$B$93)</f>
        <v>-2.85975</v>
      </c>
      <c r="U38" s="36">
        <f>IF(B38&lt;Parametri!$B$125,Parametri!$B$46,IF(B38&lt;Parametri!$B$126,Parametri!$B$47,Parametri!$B$48))*Parametri!$B$96*13/1000000000*((B38+1)*Parametri!$B$121+B38*(B38+1)/2*Parametri!$B$122)</f>
        <v>114.03223415999999</v>
      </c>
      <c r="V38" s="35">
        <f>IF(B38&gt;=Parametri!$B$103-1,Parametri!$B$102*(1-Parametri!$B$127)^(B38-(Parametri!$B$103-1)),0)</f>
        <v>3.6437356085998163</v>
      </c>
      <c r="W38" s="35">
        <f>IF(B38&gt;=Parametri!$B$105-1,Parametri!$B$104,0)</f>
        <v>5</v>
      </c>
      <c r="X38" s="35">
        <f>IF(B38&gt;=Parametri!$B$107-1,Parametri!$B$106+Parametri!$B$128*INT((B38-(Parametri!$B$107-1))/2),0)</f>
        <v>4.99</v>
      </c>
      <c r="Y38" s="34">
        <f>IF(AND(B38&gt;=Parametri!$B$109-1,B38&lt;Parametri!$B$109-1+Parametri!$B$140),Parametri!$B$108,0)</f>
        <v>0</v>
      </c>
      <c r="Z38" s="37">
        <f>IF(B38&lt;10,Parametri!$B$52,IF(B38&lt;20,Parametri!$B$55,0))*M38*G38/1000</f>
        <v>0</v>
      </c>
      <c r="AA38" s="38">
        <f>Parametri!$B$159*Parametri!$B$160</f>
        <v>0</v>
      </c>
      <c r="AB38" s="39">
        <f>(SUM(Z$5:Z38)+SUM(AA$5:AA38)-SUM(Z$5:Z23)-SUM(AA$5:AA23))</f>
        <v>8.374021963112682</v>
      </c>
      <c r="AC38" s="39">
        <f>-(Parametri!$B$67*SUM(Z$5:Z38)+Parametri!$B$161*SUM(AA$5:AA38))</f>
        <v>-1.888875035600631</v>
      </c>
      <c r="AD38" s="39">
        <f t="shared" si="10"/>
        <v>-8.1736638367879078</v>
      </c>
      <c r="AE38" s="41">
        <f t="shared" si="6"/>
        <v>92.249843112567689</v>
      </c>
      <c r="AF38" s="41">
        <f t="shared" si="9"/>
        <v>1395.6333968917886</v>
      </c>
      <c r="AG38" s="42">
        <f t="shared" si="7"/>
        <v>-0.47963162350393224</v>
      </c>
      <c r="AH38" s="139">
        <f>SUM(Z$5:Z38)-SUM(Z$5:Z23)</f>
        <v>8.374021963112682</v>
      </c>
      <c r="AI38" s="139">
        <f t="shared" si="11"/>
        <v>-8.1736638367879078</v>
      </c>
    </row>
  </sheetData>
  <mergeCells count="2">
    <mergeCell ref="A1:AA1"/>
    <mergeCell ref="A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30" zoomScale="109" zoomScaleNormal="125" workbookViewId="0">
      <selection activeCell="A40" sqref="A40:XFD40"/>
    </sheetView>
  </sheetViews>
  <sheetFormatPr baseColWidth="10" defaultColWidth="8.83203125" defaultRowHeight="15" x14ac:dyDescent="0.2"/>
  <cols>
    <col min="1" max="1" width="55.5" customWidth="1"/>
    <col min="2" max="2" width="10.6640625" customWidth="1"/>
    <col min="3" max="3" width="10" customWidth="1"/>
    <col min="4" max="28" width="9.6640625" customWidth="1"/>
    <col min="29" max="37" width="9.83203125" customWidth="1"/>
    <col min="38" max="38" width="8.83203125" customWidth="1"/>
  </cols>
  <sheetData>
    <row r="1" spans="1:37" ht="15" customHeight="1" x14ac:dyDescent="0.2">
      <c r="A1" s="110" t="s">
        <v>390</v>
      </c>
    </row>
    <row r="2" spans="1:37" ht="15" customHeight="1" x14ac:dyDescent="0.2">
      <c r="A2" t="s">
        <v>391</v>
      </c>
    </row>
    <row r="3" spans="1:37" ht="15" customHeight="1" x14ac:dyDescent="0.2">
      <c r="A3" t="s">
        <v>392</v>
      </c>
    </row>
    <row r="4" spans="1:37" ht="15" customHeight="1" x14ac:dyDescent="0.2">
      <c r="A4" t="s">
        <v>393</v>
      </c>
      <c r="B4" t="s">
        <v>394</v>
      </c>
      <c r="C4" t="s">
        <v>395</v>
      </c>
      <c r="D4" t="s">
        <v>396</v>
      </c>
      <c r="E4" t="s">
        <v>397</v>
      </c>
      <c r="F4" t="s">
        <v>398</v>
      </c>
      <c r="G4" t="s">
        <v>399</v>
      </c>
      <c r="H4" t="s">
        <v>400</v>
      </c>
      <c r="I4" t="s">
        <v>401</v>
      </c>
      <c r="J4" t="s">
        <v>402</v>
      </c>
      <c r="K4" t="s">
        <v>403</v>
      </c>
      <c r="L4" t="s">
        <v>404</v>
      </c>
      <c r="M4" t="s">
        <v>405</v>
      </c>
      <c r="N4" t="s">
        <v>406</v>
      </c>
      <c r="O4" t="s">
        <v>407</v>
      </c>
      <c r="P4" t="s">
        <v>408</v>
      </c>
      <c r="Q4" t="s">
        <v>409</v>
      </c>
      <c r="R4" t="s">
        <v>410</v>
      </c>
      <c r="S4" t="s">
        <v>411</v>
      </c>
      <c r="T4" t="s">
        <v>412</v>
      </c>
      <c r="U4" t="s">
        <v>413</v>
      </c>
      <c r="V4" t="s">
        <v>414</v>
      </c>
      <c r="W4" t="s">
        <v>415</v>
      </c>
      <c r="X4" t="s">
        <v>416</v>
      </c>
      <c r="Y4" t="s">
        <v>417</v>
      </c>
      <c r="Z4" t="s">
        <v>418</v>
      </c>
      <c r="AA4" t="s">
        <v>419</v>
      </c>
      <c r="AB4" t="s">
        <v>420</v>
      </c>
      <c r="AC4" t="s">
        <v>421</v>
      </c>
      <c r="AD4" t="s">
        <v>422</v>
      </c>
      <c r="AE4" t="s">
        <v>423</v>
      </c>
      <c r="AF4" t="s">
        <v>424</v>
      </c>
      <c r="AG4" t="s">
        <v>425</v>
      </c>
      <c r="AH4" t="s">
        <v>426</v>
      </c>
      <c r="AI4" t="s">
        <v>427</v>
      </c>
      <c r="AJ4" t="s">
        <v>428</v>
      </c>
      <c r="AK4" t="s">
        <v>429</v>
      </c>
    </row>
    <row r="5" spans="1:37" ht="15" customHeight="1" x14ac:dyDescent="0.2">
      <c r="A5" t="s">
        <v>430</v>
      </c>
      <c r="D5" s="111">
        <f>Modello!$R5</f>
        <v>6.1677000000000017</v>
      </c>
      <c r="E5" s="111">
        <f>Modello!$R6</f>
        <v>7.203025488384001</v>
      </c>
      <c r="F5" s="111">
        <f>Modello!$R7</f>
        <v>8.2459735492273722</v>
      </c>
      <c r="G5" s="111">
        <f>Modello!$R8</f>
        <v>9.2966540696147746</v>
      </c>
      <c r="H5" s="111">
        <f>Modello!$R9</f>
        <v>10.355177837930746</v>
      </c>
      <c r="I5" s="111">
        <f>Modello!$R10</f>
        <v>11.421656552201526</v>
      </c>
      <c r="J5" s="111">
        <f>Modello!$R11</f>
        <v>11.782861994258306</v>
      </c>
      <c r="K5" s="111">
        <f>Modello!$R12</f>
        <v>12.146877306006406</v>
      </c>
      <c r="L5" s="111">
        <f>Modello!$R13</f>
        <v>12.513739583036521</v>
      </c>
      <c r="M5" s="111">
        <f>Modello!$R14</f>
        <v>12.88348622526634</v>
      </c>
      <c r="N5" s="111">
        <f>Modello!$R15</f>
        <v>19.884232409568018</v>
      </c>
      <c r="O5" s="111">
        <f>Modello!$R16</f>
        <v>20.447675614923195</v>
      </c>
      <c r="P5" s="111">
        <f>Modello!$R17</f>
        <v>21.015616448391928</v>
      </c>
      <c r="Q5" s="111">
        <f>Modello!$R18</f>
        <v>21.588112877724861</v>
      </c>
      <c r="R5" s="111">
        <f>Modello!$R19</f>
        <v>22.165223348291015</v>
      </c>
      <c r="S5" s="111">
        <f>Modello!$R20</f>
        <v>22.747006787407411</v>
      </c>
      <c r="T5" s="111">
        <f>Modello!$R21</f>
        <v>23.333522608704097</v>
      </c>
      <c r="U5" s="111">
        <f>Modello!$R22</f>
        <v>23.924830716524841</v>
      </c>
      <c r="V5" s="111">
        <f>Modello!$R23</f>
        <v>24.520991510363721</v>
      </c>
      <c r="W5" s="111">
        <f>Modello!$R24</f>
        <v>25.122065889338032</v>
      </c>
      <c r="X5" s="111">
        <f>Modello!$R25</f>
        <v>38.592172885046423</v>
      </c>
      <c r="Y5" s="111">
        <f>Modello!$R26</f>
        <v>39.508802286556744</v>
      </c>
      <c r="Z5" s="111">
        <f>Modello!$R27</f>
        <v>40.433080676324295</v>
      </c>
      <c r="AA5" s="111">
        <f>Modello!$R28</f>
        <v>41.365102468959897</v>
      </c>
      <c r="AB5" s="111">
        <f>Modello!$R29</f>
        <v>42.304962862886718</v>
      </c>
      <c r="AC5" s="111">
        <f>Modello!$R30</f>
        <v>43.252757847385169</v>
      </c>
      <c r="AD5" s="111">
        <f>Modello!$R31</f>
        <v>44.208584209695452</v>
      </c>
      <c r="AE5" s="111">
        <f>Modello!$R32</f>
        <v>45.172539542178015</v>
      </c>
      <c r="AF5" s="111">
        <f>Modello!$R33</f>
        <v>46.144722249532606</v>
      </c>
      <c r="AG5" s="111">
        <f>Modello!$R34</f>
        <v>47.125231556076166</v>
      </c>
      <c r="AH5" s="111">
        <f>Modello!$R35</f>
        <v>47.32541066860361</v>
      </c>
      <c r="AI5" s="111">
        <f>Modello!$R36</f>
        <v>47.527384844679531</v>
      </c>
      <c r="AJ5" s="111">
        <f>Modello!$R37</f>
        <v>47.731165488357398</v>
      </c>
      <c r="AK5" s="111">
        <f>Modello!$R38</f>
        <v>47.936764087182958</v>
      </c>
    </row>
    <row r="6" spans="1:37" ht="15" customHeight="1" x14ac:dyDescent="0.2">
      <c r="A6" t="s">
        <v>431</v>
      </c>
      <c r="D6" s="111">
        <f>Modello!Z5</f>
        <v>3.0838500000000004</v>
      </c>
      <c r="E6" s="111">
        <f>Modello!Z6</f>
        <v>3.601512744192001</v>
      </c>
      <c r="F6" s="111">
        <f>Modello!Z7</f>
        <v>4.122986774613687</v>
      </c>
      <c r="G6" s="111">
        <f>Modello!Z8</f>
        <v>4.6483270348073873</v>
      </c>
      <c r="H6" s="111">
        <f>Modello!Z9</f>
        <v>5.1775889189653741</v>
      </c>
      <c r="I6" s="111">
        <f>Modello!Z10</f>
        <v>5.7108282761007629</v>
      </c>
      <c r="J6" s="111">
        <f>Modello!Z11</f>
        <v>5.8914309971291541</v>
      </c>
      <c r="K6" s="111">
        <f>Modello!Z12</f>
        <v>6.0734386530032047</v>
      </c>
      <c r="L6" s="111">
        <f>Modello!Z13</f>
        <v>6.2568697915182598</v>
      </c>
      <c r="M6" s="111">
        <f>Modello!Z14</f>
        <v>6.441743112633171</v>
      </c>
      <c r="N6" s="111">
        <f>Modello!Z15</f>
        <v>6.6280774698560059</v>
      </c>
      <c r="O6" s="111">
        <f>Modello!Z16</f>
        <v>6.8158918716410648</v>
      </c>
      <c r="P6" s="111">
        <f>Modello!Z17</f>
        <v>7.0052054827973089</v>
      </c>
      <c r="Q6" s="111">
        <f>Modello!Z18</f>
        <v>7.1960376259082874</v>
      </c>
      <c r="R6" s="111">
        <f>Modello!Z19</f>
        <v>7.3884077827636716</v>
      </c>
      <c r="S6" s="111">
        <f>Modello!Z20</f>
        <v>7.5823355958024701</v>
      </c>
      <c r="T6" s="111">
        <f>Modello!Z21</f>
        <v>7.7778408695680321</v>
      </c>
      <c r="U6" s="111">
        <f>Modello!Z22</f>
        <v>7.9749435721749471</v>
      </c>
      <c r="V6" s="111">
        <f>Modello!Z23</f>
        <v>8.1736638367879078</v>
      </c>
      <c r="W6" s="111">
        <f>Modello!Z24</f>
        <v>8.3740219631126767</v>
      </c>
      <c r="X6" s="111">
        <f>Modello!Z25</f>
        <v>0</v>
      </c>
      <c r="Y6" s="111">
        <f>Modello!Z26</f>
        <v>0</v>
      </c>
      <c r="Z6" s="111">
        <f>Modello!Z27</f>
        <v>0</v>
      </c>
      <c r="AA6" s="111">
        <f>Modello!Z28</f>
        <v>0</v>
      </c>
      <c r="AB6" s="111">
        <f>Modello!Z29</f>
        <v>0</v>
      </c>
      <c r="AC6" s="111">
        <f>Modello!Z30</f>
        <v>0</v>
      </c>
      <c r="AD6" s="111">
        <f>Modello!Z31</f>
        <v>0</v>
      </c>
      <c r="AE6" s="111">
        <f>Modello!Z32</f>
        <v>0</v>
      </c>
      <c r="AF6" s="111">
        <f>Modello!Z33</f>
        <v>0</v>
      </c>
      <c r="AG6" s="111">
        <f>Modello!Z34</f>
        <v>0</v>
      </c>
      <c r="AH6" s="111">
        <f>Modello!Z35</f>
        <v>0</v>
      </c>
      <c r="AI6" s="111">
        <f>Modello!Z36</f>
        <v>0</v>
      </c>
      <c r="AJ6" s="111">
        <f>Modello!Z37</f>
        <v>0</v>
      </c>
      <c r="AK6" s="111">
        <f>Modello!Z38</f>
        <v>0</v>
      </c>
    </row>
    <row r="8" spans="1:37" ht="15" customHeight="1" x14ac:dyDescent="0.2">
      <c r="A8" s="110" t="s">
        <v>432</v>
      </c>
    </row>
    <row r="9" spans="1:37" ht="15" customHeight="1" x14ac:dyDescent="0.2">
      <c r="A9" s="110" t="s">
        <v>433</v>
      </c>
      <c r="B9" t="s">
        <v>394</v>
      </c>
      <c r="C9" t="s">
        <v>395</v>
      </c>
      <c r="D9" t="s">
        <v>396</v>
      </c>
      <c r="E9" t="s">
        <v>397</v>
      </c>
      <c r="F9" t="s">
        <v>398</v>
      </c>
      <c r="G9" t="s">
        <v>399</v>
      </c>
      <c r="H9" t="s">
        <v>400</v>
      </c>
      <c r="I9" t="s">
        <v>401</v>
      </c>
      <c r="J9" t="s">
        <v>402</v>
      </c>
      <c r="K9" t="s">
        <v>403</v>
      </c>
      <c r="L9" t="s">
        <v>404</v>
      </c>
      <c r="M9" t="s">
        <v>405</v>
      </c>
      <c r="N9" t="s">
        <v>406</v>
      </c>
      <c r="O9" t="s">
        <v>407</v>
      </c>
      <c r="P9" t="s">
        <v>408</v>
      </c>
      <c r="Q9" t="s">
        <v>409</v>
      </c>
      <c r="R9" t="s">
        <v>410</v>
      </c>
      <c r="S9" t="s">
        <v>411</v>
      </c>
      <c r="T9" t="s">
        <v>412</v>
      </c>
      <c r="U9" t="s">
        <v>413</v>
      </c>
      <c r="V9" t="s">
        <v>414</v>
      </c>
      <c r="W9" t="s">
        <v>415</v>
      </c>
      <c r="X9" t="s">
        <v>416</v>
      </c>
      <c r="Y9" t="s">
        <v>417</v>
      </c>
      <c r="Z9" t="s">
        <v>418</v>
      </c>
      <c r="AA9" t="s">
        <v>419</v>
      </c>
      <c r="AB9" t="s">
        <v>420</v>
      </c>
      <c r="AC9" t="s">
        <v>421</v>
      </c>
      <c r="AD9" t="s">
        <v>422</v>
      </c>
      <c r="AE9" t="s">
        <v>423</v>
      </c>
      <c r="AF9" t="s">
        <v>424</v>
      </c>
      <c r="AG9" t="s">
        <v>425</v>
      </c>
      <c r="AH9" t="s">
        <v>426</v>
      </c>
      <c r="AI9" t="s">
        <v>427</v>
      </c>
      <c r="AJ9" t="s">
        <v>428</v>
      </c>
      <c r="AK9" t="s">
        <v>429</v>
      </c>
    </row>
    <row r="10" spans="1:37" ht="15" customHeight="1" x14ac:dyDescent="0.2">
      <c r="A10" t="s">
        <v>434</v>
      </c>
      <c r="B10" s="112">
        <v>7.4999999999999997E-3</v>
      </c>
      <c r="C10" s="112">
        <v>5.0000000000000001E-3</v>
      </c>
      <c r="D10" s="111">
        <f>D5</f>
        <v>6.1677000000000017</v>
      </c>
      <c r="E10" s="111">
        <f>D10*(1+$C10)+E5+Modello!AH5*$B10-Modello!AI6</f>
        <v>13.424692863384001</v>
      </c>
      <c r="F10" s="111">
        <f>E10*(1+$C10)+F5+Modello!AH6*$B10-Modello!AI7</f>
        <v>21.787930097509729</v>
      </c>
      <c r="G10" s="111">
        <f>F10*(1+$C10)+G5+Modello!AH7*$B10-Modello!AI8</f>
        <v>31.274586439003091</v>
      </c>
      <c r="H10" s="111">
        <f>G10*(1+$C10)+H5+Modello!AH8*$B10-Modello!AI9</f>
        <v>41.902062283280948</v>
      </c>
      <c r="I10" s="111">
        <f>H10*(1+$C10)+I5+Modello!AH9*$B10-Modello!AI10</f>
        <v>53.687986137943213</v>
      </c>
      <c r="J10" s="111">
        <f>I10*(1+$C10)+J5+Modello!AH10*$B10-Modello!AI11</f>
        <v>65.936876266006323</v>
      </c>
      <c r="K10" s="111">
        <f>J10*(1+$C10)+K5+Modello!AH11*$B10-Modello!AI12</f>
        <v>78.655211888936307</v>
      </c>
      <c r="L10" s="111">
        <f>K10*(1+$C10)+L5+Modello!AH12*$B10-Modello!AI13</f>
        <v>91.849552256908595</v>
      </c>
      <c r="M10" s="111">
        <f>L10*(1+$C10)+M5+Modello!AH13*$B10-Modello!AI14</f>
        <v>105.52653749238694</v>
      </c>
      <c r="N10" s="111">
        <f>M10*(1+$C10)+N5+Modello!AH14*$B10-Modello!AI15</f>
        <v>126.32096691168908</v>
      </c>
      <c r="O10" s="111">
        <f>N10*(1+$C10)+O5+Modello!AH15*$B10-Modello!AI16</f>
        <v>147.83252226446683</v>
      </c>
      <c r="P10" s="111">
        <f>O10*(1+$C10)+P5+Modello!AH16*$B10-Modello!AI17</f>
        <v>170.07069541651452</v>
      </c>
      <c r="Q10" s="111">
        <f>P10*(1+$C10)+Q5+Modello!AH17*$B10-Modello!AI18</f>
        <v>193.04509490477636</v>
      </c>
      <c r="R10" s="111">
        <f>Q10*(1+$C10)+R5+Modello!AH18*$B10-Modello!AI19</f>
        <v>216.76544714323998</v>
      </c>
      <c r="S10" s="111">
        <f>R10*(1+$C10)+S5+Modello!AH19*$B10-Modello!AI20</f>
        <v>244.32544764038303</v>
      </c>
      <c r="T10" s="111">
        <f>S10*(1+$C10)+T5+Modello!AH20*$B10-Modello!AI21</f>
        <v>273.16116534746897</v>
      </c>
      <c r="U10" s="111">
        <f>T10*(1+$C10)+U5+Modello!AH21*$B10-Modello!AI22</f>
        <v>303.28516624227314</v>
      </c>
      <c r="V10" s="111">
        <f>U10*(1+$C10)+V5+Modello!AH22*$B10-Modello!AI23</f>
        <v>334.71017787156558</v>
      </c>
      <c r="W10" s="111">
        <f>V10*(1+$C10)+W5+Modello!AH23*$B10-Modello!AI24</f>
        <v>367.44909084815168</v>
      </c>
      <c r="X10" s="111">
        <f>W10*(1+$C10)+X5+Modello!AH24*$B10-Modello!AI25</f>
        <v>414.37901799029555</v>
      </c>
      <c r="Y10" s="111">
        <f>X10*(1+$C10)+Y5+Modello!AH25*$B10-Modello!AI26</f>
        <v>462.59799567861808</v>
      </c>
      <c r="Z10" s="111">
        <f>Y10*(1+$C10)+Z5+Modello!AH26*$B10-Modello!AI27</f>
        <v>512.1201685685453</v>
      </c>
      <c r="AA10" s="111">
        <f>Z10*(1+$C10)+AA5+Modello!AH27*$B10-Modello!AI28</f>
        <v>562.95985446417535</v>
      </c>
      <c r="AB10" s="111">
        <f>AA10*(1+$C10)+AB5+Modello!AH28*$B10-Modello!AI29</f>
        <v>615.13154598088886</v>
      </c>
      <c r="AC10" s="111">
        <f>AB10*(1+$C10)+AC5+Modello!AH29*$B10-Modello!AI30</f>
        <v>668.64991222356241</v>
      </c>
      <c r="AD10" s="111">
        <f>AC10*(1+$C10)+AD5+Modello!AH30*$B10-Modello!AI31</f>
        <v>723.52980048052086</v>
      </c>
      <c r="AE10" s="111">
        <f>AD10*(1+$C10)+AE5+Modello!AH31*$B10-Modello!AI32</f>
        <v>779.78623793336567</v>
      </c>
      <c r="AF10" s="111">
        <f>AE10*(1+$C10)+AF5+Modello!AH32*$B10-Modello!AI33</f>
        <v>837.43443338281918</v>
      </c>
      <c r="AG10" s="111">
        <f>AF10*(1+$C10)+AG5+Modello!AH33*$B10-Modello!AI34</f>
        <v>896.48977899072463</v>
      </c>
      <c r="AH10" s="111">
        <f>AG10*(1+$C10)+AH5+Modello!AH34*$B10-Modello!AI35</f>
        <v>956.17909519386501</v>
      </c>
      <c r="AI10" s="111">
        <f>AH10*(1+$C10)+AI5+Modello!AH35*$B10-Modello!AI36</f>
        <v>1016.5074699108942</v>
      </c>
      <c r="AJ10" s="111">
        <f>AI10*(1+$C10)+AJ5+Modello!AH36*$B10-Modello!AI37</f>
        <v>1077.4800360412714</v>
      </c>
      <c r="AK10" s="111">
        <f>AJ10*(1+$C10)+AK5+Modello!AH37*$B10-Modello!AI38</f>
        <v>1139.1019717889478</v>
      </c>
    </row>
    <row r="11" spans="1:37" ht="15" customHeight="1" x14ac:dyDescent="0.2">
      <c r="A11" t="s">
        <v>435</v>
      </c>
      <c r="B11" s="112">
        <v>7.4999999999999997E-3</v>
      </c>
      <c r="C11" s="112">
        <v>1.2500000000000001E-2</v>
      </c>
      <c r="D11" s="111">
        <f>D5</f>
        <v>6.1677000000000017</v>
      </c>
      <c r="E11" s="111">
        <f>D11*(1+$C11)+E5+Modello!AH5*$B11-Modello!AI6</f>
        <v>13.470950613384002</v>
      </c>
      <c r="F11" s="111">
        <f>E11*(1+$C11)+F5+Modello!AH6*$B11-Modello!AI7</f>
        <v>21.935451265860113</v>
      </c>
      <c r="G11" s="111">
        <f>F11*(1+$C11)+G5+Modello!AH7*$B11-Modello!AI8</f>
        <v>31.587361097689179</v>
      </c>
      <c r="H11" s="111">
        <f>G11*(1+$C11)+H5+Modello!AH8*$B11-Modello!AI9</f>
        <v>42.453306023493134</v>
      </c>
      <c r="I11" s="111">
        <f>H11*(1+$C11)+I5+Modello!AH9*$B11-Modello!AI10</f>
        <v>54.560385892032656</v>
      </c>
      <c r="J11" s="111">
        <f>I11*(1+$C11)+J5+Modello!AH10*$B11-Modello!AI11</f>
        <v>67.222840913056459</v>
      </c>
      <c r="K11" s="111">
        <f>J11*(1+$C11)+K5+Modello!AH11*$B11-Modello!AI12</f>
        <v>80.451777666069617</v>
      </c>
      <c r="L11" s="111">
        <f>K11*(1+$C11)+L5+Modello!AH12*$B11-Modello!AI13</f>
        <v>94.258489195423095</v>
      </c>
      <c r="M11" s="111">
        <f>L11*(1+$C11)+M5+Modello!AH13*$B11-Modello!AI14</f>
        <v>108.6544577845597</v>
      </c>
      <c r="N11" s="111">
        <f>M11*(1+$C11)+N5+Modello!AH14*$B11-Modello!AI15</f>
        <v>130.27943523870695</v>
      </c>
      <c r="O11" s="111">
        <f>N11*(1+$C11)+O5+Modello!AH15*$B11-Modello!AI16</f>
        <v>152.78787869741009</v>
      </c>
      <c r="P11" s="111">
        <f>O11*(1+$C11)+P5+Modello!AH16*$B11-Modello!AI17</f>
        <v>176.19673772185308</v>
      </c>
      <c r="Q11" s="111">
        <f>P11*(1+$C11)+Q5+Modello!AH17*$B11-Modello!AI18</f>
        <v>200.52324295455551</v>
      </c>
      <c r="R11" s="111">
        <f>Q11*(1+$C11)+R5+Modello!AH18*$B11-Modello!AI19</f>
        <v>225.78491025542721</v>
      </c>
      <c r="S11" s="111">
        <f>R11*(1+$C11)+S5+Modello!AH19*$B11-Modello!AI20</f>
        <v>255.08339489504692</v>
      </c>
      <c r="T11" s="111">
        <f>S11*(1+$C11)+T5+Modello!AH20*$B11-Modello!AI21</f>
        <v>285.88602780011905</v>
      </c>
      <c r="U11" s="111">
        <f>T11*(1+$C11)+U5+Modello!AH21*$B11-Modello!AI22</f>
        <v>318.21779821568742</v>
      </c>
      <c r="V11" s="111">
        <f>U11*(1+$C11)+V5+Modello!AH22*$B11-Modello!AI23</f>
        <v>352.10410649146462</v>
      </c>
      <c r="W11" s="111">
        <f>V11*(1+$C11)+W5+Modello!AH23*$B11-Modello!AI24</f>
        <v>387.57076990983626</v>
      </c>
      <c r="X11" s="111">
        <f>W11*(1+$C11)+X5+Modello!AH24*$B11-Modello!AI25</f>
        <v>437.50808622161236</v>
      </c>
      <c r="Y11" s="111">
        <f>X11*(1+$C11)+Y5+Modello!AH25*$B11-Modello!AI26</f>
        <v>489.12401989775356</v>
      </c>
      <c r="Z11" s="111">
        <f>Y11*(1+$C11)+Z5+Modello!AH26*$B11-Modello!AI27</f>
        <v>542.44725305800966</v>
      </c>
      <c r="AA11" s="111">
        <f>Z11*(1+$C11)+AA5+Modello!AH27*$B11-Modello!AI28</f>
        <v>597.50692877402219</v>
      </c>
      <c r="AB11" s="111">
        <f>AA11*(1+$C11)+AB5+Modello!AH28*$B11-Modello!AI29</f>
        <v>654.33265762809015</v>
      </c>
      <c r="AC11" s="111">
        <f>AB11*(1+$C11)+AC5+Modello!AH29*$B11-Modello!AI30</f>
        <v>712.95452436121036</v>
      </c>
      <c r="AD11" s="111">
        <f>AC11*(1+$C11)+AD5+Modello!AH30*$B11-Modello!AI31</f>
        <v>773.40309461156619</v>
      </c>
      <c r="AE11" s="111">
        <f>AD11*(1+$C11)+AE5+Modello!AH31*$B11-Modello!AI32</f>
        <v>835.70942174465301</v>
      </c>
      <c r="AF11" s="111">
        <f>AE11*(1+$C11)+AF5+Modello!AH32*$B11-Modello!AI33</f>
        <v>899.90505377624788</v>
      </c>
      <c r="AG11" s="111">
        <f>AF11*(1+$C11)+AG5+Modello!AH33*$B11-Modello!AI34</f>
        <v>966.0220403894424</v>
      </c>
      <c r="AH11" s="111">
        <f>AG11*(1+$C11)+AH5+Modello!AH34*$B11-Modello!AI35</f>
        <v>1033.3041832024974</v>
      </c>
      <c r="AI11" s="111">
        <f>AH11*(1+$C11)+AI5+Modello!AH35*$B11-Modello!AI36</f>
        <v>1101.7679647335885</v>
      </c>
      <c r="AJ11" s="111">
        <f>AI11*(1+$C11)+AJ5+Modello!AH36*$B11-Modello!AI37</f>
        <v>1171.4300930735812</v>
      </c>
      <c r="AK11" s="111">
        <f>AJ11*(1+$C11)+AK5+Modello!AH37*$B11-Modello!AI38</f>
        <v>1242.3075048044711</v>
      </c>
    </row>
    <row r="12" spans="1:37" ht="15" customHeight="1" x14ac:dyDescent="0.2">
      <c r="A12" t="s">
        <v>436</v>
      </c>
      <c r="B12" s="112">
        <v>7.4999999999999997E-3</v>
      </c>
      <c r="C12" s="112">
        <v>2.5000000000000001E-2</v>
      </c>
      <c r="D12" s="111">
        <f>D5</f>
        <v>6.1677000000000017</v>
      </c>
      <c r="E12" s="111">
        <f>D12*(1+$C12)+E5+Modello!AH5*$B12-Modello!AI6</f>
        <v>13.548046863384002</v>
      </c>
      <c r="F12" s="111">
        <f>E12*(1+$C12)+F5+Modello!AH6*$B12-Modello!AI7</f>
        <v>22.182861804777414</v>
      </c>
      <c r="G12" s="111">
        <f>F12*(1+$C12)+G5+Modello!AH7*$B12-Modello!AI8</f>
        <v>32.115150040902662</v>
      </c>
      <c r="H12" s="111">
        <f>G12*(1+$C12)+H5+Modello!AH8*$B12-Modello!AI9</f>
        <v>43.389131704008065</v>
      </c>
      <c r="I12" s="111">
        <f>H12*(1+$C12)+I5+Modello!AH9*$B12-Modello!AI10</f>
        <v>56.050273539854125</v>
      </c>
      <c r="J12" s="111">
        <f>I12*(1+$C12)+J5+Modello!AH10*$B12-Modello!AI11</f>
        <v>69.43198057572387</v>
      </c>
      <c r="K12" s="111">
        <f>J12*(1+$C12)+K5+Modello!AH11*$B12-Modello!AI12</f>
        <v>83.556431331716922</v>
      </c>
      <c r="L12" s="111">
        <f>K12*(1+$C12)+L5+Modello!AH12*$B12-Modello!AI13</f>
        <v>98.446406423537454</v>
      </c>
      <c r="M12" s="111">
        <f>L12*(1+$C12)+M5+Modello!AH13*$B12-Modello!AI14</f>
        <v>114.1253040583197</v>
      </c>
      <c r="N12" s="111">
        <f>M12*(1+$C12)+N5+Modello!AH14*$B12-Modello!AI15</f>
        <v>137.24523339161794</v>
      </c>
      <c r="O12" s="111">
        <f>N12*(1+$C12)+O5+Modello!AH15*$B12-Modello!AI16</f>
        <v>161.55631474462768</v>
      </c>
      <c r="P12" s="111">
        <f>O12*(1+$C12)+P5+Modello!AH16*$B12-Modello!AI17</f>
        <v>187.09423315396873</v>
      </c>
      <c r="Q12" s="111">
        <f>P12*(1+$C12)+Q5+Modello!AH17*$B12-Modello!AI18</f>
        <v>213.89563499399722</v>
      </c>
      <c r="R12" s="111">
        <f>Q12*(1+$C12)+R5+Modello!AH18*$B12-Modello!AI19</f>
        <v>241.99815263278688</v>
      </c>
      <c r="S12" s="111">
        <f>R12*(1+$C12)+S5+Modello!AH19*$B12-Modello!AI20</f>
        <v>274.5242797100334</v>
      </c>
      <c r="T12" s="111">
        <f>S12*(1+$C12)+T5+Modello!AH20*$B12-Modello!AI21</f>
        <v>309.00147717166828</v>
      </c>
      <c r="U12" s="111">
        <f>T12*(1+$C12)+U5+Modello!AH21*$B12-Modello!AI22</f>
        <v>345.48470916902681</v>
      </c>
      <c r="V12" s="111">
        <f>U12*(1+$C12)+V5+Modello!AH22*$B12-Modello!AI23</f>
        <v>384.03041269633354</v>
      </c>
      <c r="W12" s="111">
        <f>V12*(1+$C12)+W5+Modello!AH23*$B12-Modello!AI24</f>
        <v>424.69653510097015</v>
      </c>
      <c r="X12" s="111">
        <f>W12*(1+$C12)+X5+Modello!AH24*$B12-Modello!AI25</f>
        <v>480.40663016639752</v>
      </c>
      <c r="Y12" s="111">
        <f>X12*(1+$C12)+Y5+Modello!AH25*$B12-Modello!AI26</f>
        <v>538.56387851892862</v>
      </c>
      <c r="Z12" s="111">
        <f>Y12*(1+$C12)+Z5+Modello!AH26*$B12-Modello!AI27</f>
        <v>599.23715839343595</v>
      </c>
      <c r="AA12" s="111">
        <f>Z12*(1+$C12)+AA5+Modello!AH27*$B12-Modello!AI28</f>
        <v>662.49717240605924</v>
      </c>
      <c r="AB12" s="111">
        <f>AA12*(1+$C12)+AB5+Modello!AH28*$B12-Modello!AI29</f>
        <v>728.41649396060336</v>
      </c>
      <c r="AC12" s="111">
        <f>AB12*(1+$C12)+AC5+Modello!AH29*$B12-Modello!AI30</f>
        <v>797.06961482238751</v>
      </c>
      <c r="AD12" s="111">
        <f>AC12*(1+$C12)+AD5+Modello!AH30*$B12-Modello!AI31</f>
        <v>868.53299388878781</v>
      </c>
      <c r="AE12" s="111">
        <f>AD12*(1+$C12)+AE5+Modello!AH31*$B12-Modello!AI32</f>
        <v>942.88510718644966</v>
      </c>
      <c r="AF12" s="111">
        <f>AE12*(1+$C12)+AF5+Modello!AH32*$B12-Modello!AI33</f>
        <v>1020.2064991258976</v>
      </c>
      <c r="AG12" s="111">
        <f>AF12*(1+$C12)+AG5+Modello!AH33*$B12-Modello!AI34</f>
        <v>1100.5798350450364</v>
      </c>
      <c r="AH12" s="111">
        <f>AG12*(1+$C12)+AH5+Modello!AH34*$B12-Modello!AI35</f>
        <v>1183.3011982293492</v>
      </c>
      <c r="AI12" s="111">
        <f>AH12*(1+$C12)+AI5+Modello!AH35*$B12-Modello!AI36</f>
        <v>1268.4312074261429</v>
      </c>
      <c r="AJ12" s="111">
        <f>AI12*(1+$C12)+AJ5+Modello!AH36*$B12-Modello!AI37</f>
        <v>1356.0320163926192</v>
      </c>
      <c r="AK12" s="111">
        <f>AJ12*(1+$C12)+AK5+Modello!AH37*$B12-Modello!AI38</f>
        <v>1446.1673523699046</v>
      </c>
    </row>
    <row r="13" spans="1:37" ht="15" customHeight="1" x14ac:dyDescent="0.2">
      <c r="A13" t="s">
        <v>437</v>
      </c>
      <c r="B13" s="112">
        <v>7.4999999999999997E-3</v>
      </c>
      <c r="C13" s="112">
        <v>0.04</v>
      </c>
      <c r="D13" s="111">
        <f>D5</f>
        <v>6.1677000000000017</v>
      </c>
      <c r="E13" s="111">
        <f>D13*(1+$C13)+E5+Modello!AH5*$B13-Modello!AI6</f>
        <v>13.640562363384001</v>
      </c>
      <c r="F13" s="111">
        <f>E13*(1+$C13)+F5+Modello!AH6*$B13-Modello!AI7</f>
        <v>22.482298627728174</v>
      </c>
      <c r="G13" s="111">
        <f>F13*(1+$C13)+G5+Modello!AH7*$B13-Modello!AI8</f>
        <v>32.759307263843112</v>
      </c>
      <c r="H13" s="111">
        <f>G13*(1+$C13)+H5+Modello!AH8*$B13-Modello!AI9</f>
        <v>44.540782466479676</v>
      </c>
      <c r="I13" s="111">
        <f>H13*(1+$C13)+I5+Modello!AH9*$B13-Modello!AI10</f>
        <v>57.898827308384725</v>
      </c>
      <c r="J13" s="111">
        <f>I13*(1+$C13)+J5+Modello!AH10*$B13-Modello!AI11</f>
        <v>72.195230598093517</v>
      </c>
      <c r="K13" s="111">
        <f>J13*(1+$C13)+K5+Modello!AH11*$B13-Modello!AI12</f>
        <v>87.471691063617214</v>
      </c>
      <c r="L13" s="111">
        <f>K13*(1+$C13)+L5+Modello!AH12*$B13-Modello!AI13</f>
        <v>103.77162301468952</v>
      </c>
      <c r="M13" s="111">
        <f>L13*(1+$C13)+M5+Modello!AH13*$B13-Modello!AI14</f>
        <v>121.14022540947091</v>
      </c>
      <c r="N13" s="111">
        <f>M13*(1+$C13)+N5+Modello!AH14*$B13-Modello!AI15</f>
        <v>146.25263115769002</v>
      </c>
      <c r="O13" s="111">
        <f>N13*(1+$C13)+O5+Modello!AH15*$B13-Modello!AI16</f>
        <v>172.98268692221694</v>
      </c>
      <c r="P13" s="111">
        <f>O13*(1+$C13)+P5+Modello!AH16*$B13-Modello!AI17</f>
        <v>201.40100493983101</v>
      </c>
      <c r="Q13" s="111">
        <f>P13*(1+$C13)+Q5+Modello!AH17*$B13-Modello!AI18</f>
        <v>231.58109114860352</v>
      </c>
      <c r="R13" s="111">
        <f>Q13*(1+$C13)+R5+Modello!AH18*$B13-Modello!AI19</f>
        <v>263.59946155848741</v>
      </c>
      <c r="S13" s="111">
        <f>R13*(1+$C13)+S5+Modello!AH19*$B13-Modello!AI20</f>
        <v>300.61961328225379</v>
      </c>
      <c r="T13" s="111">
        <f>S13*(1+$C13)+T5+Modello!AH20*$B13-Modello!AI21</f>
        <v>340.258488282428</v>
      </c>
      <c r="U13" s="111">
        <f>T13*(1+$C13)+U5+Modello!AH21*$B13-Modello!AI22</f>
        <v>382.62702288179202</v>
      </c>
      <c r="V13" s="111">
        <f>U13*(1+$C13)+V5+Modello!AH22*$B13-Modello!AI23</f>
        <v>427.8406895951448</v>
      </c>
      <c r="W13" s="111">
        <f>V13*(1+$C13)+W5+Modello!AH23*$B13-Modello!AI24</f>
        <v>476.01967926617891</v>
      </c>
      <c r="X13" s="111">
        <f>W13*(1+$C13)+X5+Modello!AH24*$B13-Modello!AI25</f>
        <v>540.15314812472923</v>
      </c>
      <c r="Y13" s="111">
        <f>X13*(1+$C13)+Y5+Modello!AH25*$B13-Modello!AI26</f>
        <v>607.90635664808963</v>
      </c>
      <c r="Z13" s="111">
        <f>Y13*(1+$C13)+Z5+Modello!AH26*$B13-Modello!AI27</f>
        <v>679.4317938255474</v>
      </c>
      <c r="AA13" s="111">
        <f>Z13*(1+$C13)+AA5+Modello!AH27*$B13-Modello!AI28</f>
        <v>754.88815063135678</v>
      </c>
      <c r="AB13" s="111">
        <f>AA13*(1+$C13)+AB5+Modello!AH28*$B13-Modello!AI29</f>
        <v>834.44056890100376</v>
      </c>
      <c r="AC13" s="111">
        <f>AB13*(1+$C13)+AC5+Modello!AH29*$B13-Modello!AI30</f>
        <v>918.26090016981311</v>
      </c>
      <c r="AD13" s="111">
        <f>AC13*(1+$C13)+AD5+Modello!AH30*$B13-Modello!AI31</f>
        <v>1006.5279748724463</v>
      </c>
      <c r="AE13" s="111">
        <f>AD13*(1+$C13)+AE5+Modello!AH31*$B13-Modello!AI32</f>
        <v>1099.4278823177863</v>
      </c>
      <c r="AF13" s="111">
        <f>AE13*(1+$C13)+AF5+Modello!AH32*$B13-Modello!AI33</f>
        <v>1197.1542618702845</v>
      </c>
      <c r="AG13" s="111">
        <f>AF13*(1+$C13)+AG5+Modello!AH33*$B13-Modello!AI34</f>
        <v>1299.9086057860873</v>
      </c>
      <c r="AH13" s="111">
        <f>AG13*(1+$C13)+AH5+Modello!AH34*$B13-Modello!AI35</f>
        <v>1407.1118173257178</v>
      </c>
      <c r="AI13" s="111">
        <f>AH13*(1+$C13)+AI5+Modello!AH35*$B13-Modello!AI36</f>
        <v>1518.9437692598065</v>
      </c>
      <c r="AJ13" s="111">
        <f>AI13*(1+$C13)+AJ5+Modello!AH36*$B13-Modello!AI37</f>
        <v>1635.5915488110215</v>
      </c>
      <c r="AK13" s="111">
        <f>AJ13*(1+$C13)+AK5+Modello!AH37*$B13-Modello!AI38</f>
        <v>1757.2497463309326</v>
      </c>
    </row>
    <row r="14" spans="1:37" ht="15" customHeight="1" x14ac:dyDescent="0.2">
      <c r="A14" t="s">
        <v>438</v>
      </c>
      <c r="B14" s="112">
        <v>1.4999999999999999E-2</v>
      </c>
      <c r="C14" s="112">
        <v>5.0000000000000001E-3</v>
      </c>
      <c r="D14" s="111">
        <f>D5</f>
        <v>6.1677000000000017</v>
      </c>
      <c r="E14" s="111">
        <f>D14*(1+$C14)+E5+Modello!AH5*$B14-Modello!AI6</f>
        <v>13.447821738384002</v>
      </c>
      <c r="F14" s="111">
        <f>E14*(1+$C14)+F5+Modello!AH6*$B14-Modello!AI7</f>
        <v>21.861314837466175</v>
      </c>
      <c r="G14" s="111">
        <f>F14*(1+$C14)+G5+Modello!AH7*$B14-Modello!AI8</f>
        <v>31.429400724050364</v>
      </c>
      <c r="H14" s="111">
        <f>G14*(1+$C14)+H5+Modello!AH8*$B14-Modello!AI9</f>
        <v>42.173575713905556</v>
      </c>
      <c r="I14" s="111">
        <f>H14*(1+$C14)+I5+Modello!AH9*$B14-Modello!AI10</f>
        <v>54.11561412676528</v>
      </c>
      <c r="J14" s="111">
        <f>I14*(1+$C14)+J5+Modello!AH10*$B14-Modello!AI11</f>
        <v>66.564230597887601</v>
      </c>
      <c r="K14" s="111">
        <f>J14*(1+$C14)+K5+Modello!AH11*$B14-Modello!AI12</f>
        <v>79.527476928070556</v>
      </c>
      <c r="L14" s="111">
        <f>K14*(1+$C14)+L5+Modello!AH12*$B14-Modello!AI13</f>
        <v>93.013503346729607</v>
      </c>
      <c r="M14" s="111">
        <f>L14*(1+$C14)+M5+Modello!AH13*$B14-Modello!AI14</f>
        <v>107.03055958658453</v>
      </c>
      <c r="N14" s="111">
        <f>M14*(1+$C14)+N5+Modello!AH14*$B14-Modello!AI15</f>
        <v>128.2150734386299</v>
      </c>
      <c r="O14" s="111">
        <f>N14*(1+$C14)+O5+Modello!AH15*$B14-Modello!AI16</f>
        <v>150.16837422733852</v>
      </c>
      <c r="P14" s="111">
        <f>O14*(1+$C14)+P5+Modello!AH16*$B14-Modello!AI17</f>
        <v>172.90162073153405</v>
      </c>
      <c r="Q14" s="111">
        <f>P14*(1+$C14)+Q5+Modello!AH17*$B14-Modello!AI18</f>
        <v>196.42610797982542</v>
      </c>
      <c r="R14" s="111">
        <f>Q14*(1+$C14)+R5+Modello!AH18*$B14-Modello!AI19</f>
        <v>220.75326869931305</v>
      </c>
      <c r="S14" s="111">
        <f>R14*(1+$C14)+S5+Modello!AH19*$B14-Modello!AI20</f>
        <v>248.97852477825595</v>
      </c>
      <c r="T14" s="111">
        <f>S14*(1+$C14)+T5+Modello!AH20*$B14-Modello!AI21</f>
        <v>278.51656298701926</v>
      </c>
      <c r="U14" s="111">
        <f>T14*(1+$C14)+U5+Modello!AH21*$B14-Modello!AI22</f>
        <v>309.37771844694947</v>
      </c>
      <c r="V14" s="111">
        <f>U14*(1+$C14)+V5+Modello!AH22*$B14-Modello!AI23</f>
        <v>341.57246009017535</v>
      </c>
      <c r="W14" s="111">
        <f>V14*(1+$C14)+W5+Modello!AH23*$B14-Modello!AI24</f>
        <v>375.11139175677937</v>
      </c>
      <c r="X14" s="111">
        <f>W14*(1+$C14)+X5+Modello!AH24*$B14-Modello!AI25</f>
        <v>422.86931093022235</v>
      </c>
      <c r="Y14" s="111">
        <f>X14*(1+$C14)+Y5+Modello!AH25*$B14-Modello!AI26</f>
        <v>471.87758939792974</v>
      </c>
      <c r="Z14" s="111">
        <f>Y14*(1+$C14)+Z5+Modello!AH26*$B14-Modello!AI27</f>
        <v>522.14882383866041</v>
      </c>
      <c r="AA14" s="111">
        <f>Z14*(1+$C14)+AA5+Modello!AH27*$B14-Modello!AI28</f>
        <v>573.69576580295029</v>
      </c>
      <c r="AB14" s="111">
        <f>AA14*(1+$C14)+AB5+Modello!AH28*$B14-Modello!AI29</f>
        <v>626.53132314523043</v>
      </c>
      <c r="AC14" s="111">
        <f>AB14*(1+$C14)+AC5+Modello!AH29*$B14-Modello!AI30</f>
        <v>680.66856146925386</v>
      </c>
      <c r="AD14" s="111">
        <f>AC14*(1+$C14)+AD5+Modello!AH30*$B14-Modello!AI31</f>
        <v>736.12070558694495</v>
      </c>
      <c r="AE14" s="111">
        <f>AD14*(1+$C14)+AE5+Modello!AH31*$B14-Modello!AI32</f>
        <v>792.90114099078869</v>
      </c>
      <c r="AF14" s="111">
        <f>AE14*(1+$C14)+AF5+Modello!AH32*$B14-Modello!AI33</f>
        <v>851.0234153398751</v>
      </c>
      <c r="AG14" s="111">
        <f>AF14*(1+$C14)+AG5+Modello!AH33*$B14-Modello!AI34</f>
        <v>910.5012399597174</v>
      </c>
      <c r="AH14" s="111">
        <f>AG14*(1+$C14)+AH5+Modello!AH34*$B14-Modello!AI35</f>
        <v>970.55973451148361</v>
      </c>
      <c r="AI14" s="111">
        <f>AH14*(1+$C14)+AI5+Modello!AH35*$B14-Modello!AI36</f>
        <v>1031.2022659519132</v>
      </c>
      <c r="AJ14" s="111">
        <f>AI14*(1+$C14)+AJ5+Modello!AH36*$B14-Modello!AI37</f>
        <v>1092.432225782786</v>
      </c>
      <c r="AK14" s="111">
        <f>AJ14*(1+$C14)+AK5+Modello!AH37*$B14-Modello!AI38</f>
        <v>1154.2530301226691</v>
      </c>
    </row>
    <row r="15" spans="1:37" ht="15" customHeight="1" x14ac:dyDescent="0.2">
      <c r="A15" t="s">
        <v>439</v>
      </c>
      <c r="B15" s="112">
        <v>1.4999999999999999E-2</v>
      </c>
      <c r="C15" s="112">
        <v>1.2500000000000001E-2</v>
      </c>
      <c r="D15" s="111">
        <f>D5</f>
        <v>6.1677000000000017</v>
      </c>
      <c r="E15" s="111">
        <f>D15*(1+$C15)+E5+Modello!AH5*$B15-Modello!AI6</f>
        <v>13.494079488384003</v>
      </c>
      <c r="F15" s="111">
        <f>E15*(1+$C15)+F5+Modello!AH6*$B15-Modello!AI7</f>
        <v>22.009009472379056</v>
      </c>
      <c r="G15" s="111">
        <f>F15*(1+$C15)+G5+Modello!AH7*$B15-Modello!AI8</f>
        <v>31.742901403180653</v>
      </c>
      <c r="H15" s="111">
        <f>G15*(1+$C15)+H5+Modello!AH8*$B15-Modello!AI9</f>
        <v>42.726715656955356</v>
      </c>
      <c r="I15" s="111">
        <f>H15*(1+$C15)+I5+Modello!AH9*$B15-Modello!AI10</f>
        <v>54.991970136957498</v>
      </c>
      <c r="J15" s="111">
        <f>I15*(1+$C15)+J5+Modello!AH10*$B15-Modello!AI11</f>
        <v>67.85740816415796</v>
      </c>
      <c r="K15" s="111">
        <f>J15*(1+$C15)+K5+Modello!AH11*$B15-Modello!AI12</f>
        <v>81.336050943403464</v>
      </c>
      <c r="L15" s="111">
        <f>K15*(1+$C15)+L5+Modello!AH12*$B15-Modello!AI13</f>
        <v>95.441140614214703</v>
      </c>
      <c r="M15" s="111">
        <f>L15*(1+$C15)+M5+Modello!AH13*$B15-Modello!AI14</f>
        <v>110.18614359501366</v>
      </c>
      <c r="N15" s="111">
        <f>M15*(1+$C15)+N5+Modello!AH14*$B15-Modello!AI15</f>
        <v>132.21283144406377</v>
      </c>
      <c r="O15" s="111">
        <f>N15*(1+$C15)+O5+Modello!AH15*$B15-Modello!AI16</f>
        <v>155.17771725863003</v>
      </c>
      <c r="P15" s="111">
        <f>O15*(1+$C15)+P5+Modello!AH16*$B15-Modello!AI17</f>
        <v>179.09984335742175</v>
      </c>
      <c r="Q15" s="111">
        <f>P15*(1+$C15)+Q5+Modello!AH17*$B15-Modello!AI18</f>
        <v>203.99857054402324</v>
      </c>
      <c r="R15" s="111">
        <f>Q15*(1+$C15)+R5+Modello!AH18*$B15-Modello!AI19</f>
        <v>229.89358285541203</v>
      </c>
      <c r="S15" s="111">
        <f>R15*(1+$C15)+S5+Modello!AH19*$B15-Modello!AI20</f>
        <v>259.88874237655102</v>
      </c>
      <c r="T15" s="111">
        <f>S15*(1+$C15)+T5+Modello!AH20*$B15-Modello!AI21</f>
        <v>291.43049724112996</v>
      </c>
      <c r="U15" s="111">
        <f>T15*(1+$C15)+U5+Modello!AH21*$B15-Modello!AI22</f>
        <v>324.54195110163931</v>
      </c>
      <c r="V15" s="111">
        <f>U15*(1+$C15)+V5+Modello!AH22*$B15-Modello!AI23</f>
        <v>359.24657854140094</v>
      </c>
      <c r="W15" s="111">
        <f>V15*(1+$C15)+W5+Modello!AH23*$B15-Modello!AI24</f>
        <v>395.56823013932166</v>
      </c>
      <c r="X15" s="111">
        <f>W15*(1+$C15)+X5+Modello!AH24*$B15-Modello!AI25</f>
        <v>446.39519523072227</v>
      </c>
      <c r="Y15" s="111">
        <f>X15*(1+$C15)+Y5+Modello!AH25*$B15-Modello!AI26</f>
        <v>498.86906708416262</v>
      </c>
      <c r="Z15" s="111">
        <f>Y15*(1+$C15)+Z5+Modello!AH26*$B15-Modello!AI27</f>
        <v>553.01677691645568</v>
      </c>
      <c r="AA15" s="111">
        <f>Z15*(1+$C15)+AA5+Modello!AH27*$B15-Modello!AI28</f>
        <v>608.86568447300806</v>
      </c>
      <c r="AB15" s="111">
        <f>AA15*(1+$C15)+AB5+Modello!AH28*$B15-Modello!AI29</f>
        <v>666.4435840421861</v>
      </c>
      <c r="AC15" s="111">
        <f>AB15*(1+$C15)+AC5+Modello!AH29*$B15-Modello!AI30</f>
        <v>725.7787105510107</v>
      </c>
      <c r="AD15" s="111">
        <f>AC15*(1+$C15)+AD5+Modello!AH30*$B15-Modello!AI31</f>
        <v>786.89974574324322</v>
      </c>
      <c r="AE15" s="111">
        <f>AD15*(1+$C15)+AE5+Modello!AH31*$B15-Modello!AI32</f>
        <v>849.83582444094282</v>
      </c>
      <c r="AF15" s="111">
        <f>AE15*(1+$C15)+AF5+Modello!AH32*$B15-Modello!AI33</f>
        <v>914.6165408905872</v>
      </c>
      <c r="AG15" s="111">
        <f>AF15*(1+$C15)+AG5+Modello!AH33*$B15-Modello!AI34</f>
        <v>981.27195519486247</v>
      </c>
      <c r="AH15" s="111">
        <f>AG15*(1+$C15)+AH5+Modello!AH34*$B15-Modello!AI35</f>
        <v>1049.0438429867661</v>
      </c>
      <c r="AI15" s="111">
        <f>AH15*(1+$C15)+AI5+Modello!AH35*$B15-Modello!AI36</f>
        <v>1117.9466237919728</v>
      </c>
      <c r="AJ15" s="111">
        <f>AI15*(1+$C15)+AJ5+Modello!AH36*$B15-Modello!AI37</f>
        <v>1187.9949050904859</v>
      </c>
      <c r="AK15" s="111">
        <f>AJ15*(1+$C15)+AK5+Modello!AH37*$B15-Modello!AI38</f>
        <v>1259.2034846150864</v>
      </c>
    </row>
    <row r="16" spans="1:37" ht="15" customHeight="1" x14ac:dyDescent="0.2">
      <c r="A16" t="s">
        <v>440</v>
      </c>
      <c r="B16" s="112">
        <v>1.4999999999999999E-2</v>
      </c>
      <c r="C16" s="112">
        <v>2.5000000000000001E-2</v>
      </c>
      <c r="D16" s="111">
        <f>D5</f>
        <v>6.1677000000000017</v>
      </c>
      <c r="E16" s="111">
        <f>D16*(1+$C16)+E5+Modello!AH5*$B16-Modello!AI6</f>
        <v>13.571175738384003</v>
      </c>
      <c r="F16" s="111">
        <f>E16*(1+$C16)+F5+Modello!AH6*$B16-Modello!AI7</f>
        <v>22.256709122233854</v>
      </c>
      <c r="G16" s="111">
        <f>F16*(1+$C16)+G5+Modello!AH7*$B16-Modello!AI8</f>
        <v>32.271906162686555</v>
      </c>
      <c r="H16" s="111">
        <f>G16*(1+$C16)+H5+Modello!AH8*$B16-Modello!AI9</f>
        <v>43.66573180298866</v>
      </c>
      <c r="I16" s="111">
        <f>H16*(1+$C16)+I5+Modello!AH9*$B16-Modello!AI10</f>
        <v>56.488545632353571</v>
      </c>
      <c r="J16" s="111">
        <f>I16*(1+$C16)+J5+Modello!AH10*$B16-Modello!AI11</f>
        <v>70.078797673650911</v>
      </c>
      <c r="K16" s="111">
        <f>J16*(1+$C16)+K5+Modello!AH11*$B16-Modello!AI12</f>
        <v>84.461192792685708</v>
      </c>
      <c r="L16" s="111">
        <f>K16*(1+$C16)+L5+Modello!AH12*$B16-Modello!AI13</f>
        <v>99.661111646521547</v>
      </c>
      <c r="M16" s="111">
        <f>L16*(1+$C16)+M5+Modello!AH13*$B16-Modello!AI14</f>
        <v>115.70462816080587</v>
      </c>
      <c r="N16" s="111">
        <f>M16*(1+$C16)+N5+Modello!AH14*$B16-Modello!AI15</f>
        <v>139.24660491893846</v>
      </c>
      <c r="O16" s="111">
        <f>N16*(1+$C16)+O5+Modello!AH15*$B16-Modello!AI16</f>
        <v>164.03999546342737</v>
      </c>
      <c r="P16" s="111">
        <f>O16*(1+$C16)+P5+Modello!AH16*$B16-Modello!AI17</f>
        <v>190.12339998307189</v>
      </c>
      <c r="Q16" s="111">
        <f>P16*(1+$C16)+Q5+Modello!AH17*$B16-Modello!AI18</f>
        <v>217.53646412728239</v>
      </c>
      <c r="R16" s="111">
        <f>Q16*(1+$C16)+R5+Modello!AH18*$B16-Modello!AI19</f>
        <v>246.31990591005294</v>
      </c>
      <c r="S16" s="111">
        <f>R16*(1+$C16)+S5+Modello!AH19*$B16-Modello!AI20</f>
        <v>279.59939329325056</v>
      </c>
      <c r="T16" s="111">
        <f>S16*(1+$C16)+T5+Modello!AH20*$B16-Modello!AI21</f>
        <v>314.88252371045382</v>
      </c>
      <c r="U16" s="111">
        <f>T16*(1+$C16)+U5+Modello!AH21*$B16-Modello!AI22</f>
        <v>352.22315944821031</v>
      </c>
      <c r="V16" s="111">
        <f>U16*(1+$C16)+V5+Modello!AH22*$B16-Modello!AI23</f>
        <v>391.67659148540668</v>
      </c>
      <c r="W16" s="111">
        <f>V16*(1+$C16)+W5+Modello!AH23*$B16-Modello!AI24</f>
        <v>433.29957563869499</v>
      </c>
      <c r="X16" s="111">
        <f>W16*(1+$C16)+X5+Modello!AH24*$B16-Modello!AI25</f>
        <v>490.01442724432144</v>
      </c>
      <c r="Y16" s="111">
        <f>X16*(1+$C16)+Y5+Modello!AH25*$B16-Modello!AI26</f>
        <v>549.15871983848581</v>
      </c>
      <c r="Z16" s="111">
        <f>Y16*(1+$C16)+Z5+Modello!AH26*$B16-Modello!AI27</f>
        <v>610.79953432818888</v>
      </c>
      <c r="AA16" s="111">
        <f>Z16*(1+$C16)+AA5+Modello!AH27*$B16-Modello!AI28</f>
        <v>675.00572053149017</v>
      </c>
      <c r="AB16" s="111">
        <f>AA16*(1+$C16)+AB5+Modello!AH28*$B16-Modello!AI29</f>
        <v>741.84794205804292</v>
      </c>
      <c r="AC16" s="111">
        <f>AB16*(1+$C16)+AC5+Modello!AH29*$B16-Modello!AI30</f>
        <v>811.39872231779123</v>
      </c>
      <c r="AD16" s="111">
        <f>AC16*(1+$C16)+AD5+Modello!AH30*$B16-Modello!AI31</f>
        <v>883.73249168608083</v>
      </c>
      <c r="AE16" s="111">
        <f>AD16*(1+$C16)+AE5+Modello!AH31*$B16-Modello!AI32</f>
        <v>958.92563585414189</v>
      </c>
      <c r="AF16" s="111">
        <f>AE16*(1+$C16)+AF5+Modello!AH32*$B16-Modello!AI33</f>
        <v>1037.0565453946281</v>
      </c>
      <c r="AG16" s="111">
        <f>AF16*(1+$C16)+AG5+Modello!AH33*$B16-Modello!AI34</f>
        <v>1118.2056665726366</v>
      </c>
      <c r="AH16" s="111">
        <f>AG16*(1+$C16)+AH5+Modello!AH34*$B16-Modello!AI35</f>
        <v>1201.6667965889201</v>
      </c>
      <c r="AI16" s="111">
        <f>AH16*(1+$C16)+AI5+Modello!AH35*$B16-Modello!AI36</f>
        <v>1287.4981992715152</v>
      </c>
      <c r="AJ16" s="111">
        <f>AI16*(1+$C16)+AJ5+Modello!AH36*$B16-Modello!AI37</f>
        <v>1375.7596027544164</v>
      </c>
      <c r="AK16" s="111">
        <f>AJ16*(1+$C16)+AK5+Modello!AH37*$B16-Modello!AI38</f>
        <v>1466.5122360342461</v>
      </c>
    </row>
    <row r="17" spans="1:37" ht="15" customHeight="1" x14ac:dyDescent="0.2">
      <c r="A17" t="s">
        <v>441</v>
      </c>
      <c r="B17" s="112">
        <v>1.4999999999999999E-2</v>
      </c>
      <c r="C17" s="112">
        <v>0.04</v>
      </c>
      <c r="D17" s="111">
        <f>D5</f>
        <v>6.1677000000000017</v>
      </c>
      <c r="E17" s="111">
        <f>D17*(1+$C17)+E5+Modello!AH5*$B17-Modello!AI6</f>
        <v>13.663691238384002</v>
      </c>
      <c r="F17" s="111">
        <f>E17*(1+$C17)+F5+Modello!AH6*$B17-Modello!AI7</f>
        <v>22.556492878309616</v>
      </c>
      <c r="G17" s="111">
        <f>F17*(1+$C17)+G5+Modello!AH7*$B17-Modello!AI8</f>
        <v>32.917531905838857</v>
      </c>
      <c r="H17" s="111">
        <f>G17*(1+$C17)+H5+Modello!AH8*$B17-Modello!AI9</f>
        <v>44.821261168307359</v>
      </c>
      <c r="I17" s="111">
        <f>H17*(1+$C17)+I5+Modello!AH9*$B17-Modello!AI10</f>
        <v>58.345282149329854</v>
      </c>
      <c r="J17" s="111">
        <f>I17*(1+$C17)+J5+Modello!AH10*$B17-Modello!AI11</f>
        <v>72.857131835791549</v>
      </c>
      <c r="K17" s="111">
        <f>J17*(1+$C17)+K5+Modello!AH11*$B17-Modello!AI12</f>
        <v>88.401842286416738</v>
      </c>
      <c r="L17" s="111">
        <f>K17*(1+$C17)+L5+Modello!AH12*$B17-Modello!AI13</f>
        <v>105.02630501189212</v>
      </c>
      <c r="M17" s="111">
        <f>L17*(1+$C17)+M5+Modello!AH13*$B17-Modello!AI14</f>
        <v>122.77934593548909</v>
      </c>
      <c r="N17" s="111">
        <f>M17*(1+$C17)+N5+Modello!AH14*$B17-Modello!AI15</f>
        <v>148.33988082702112</v>
      </c>
      <c r="O17" s="111">
        <f>N17*(1+$C17)+O5+Modello!AH15*$B17-Modello!AI16</f>
        <v>175.58570148161743</v>
      </c>
      <c r="P17" s="111">
        <f>O17*(1+$C17)+P5+Modello!AH16*$B17-Modello!AI17</f>
        <v>204.591534173941</v>
      </c>
      <c r="Q17" s="111">
        <f>P17*(1+$C17)+Q5+Modello!AH17*$B17-Modello!AI18</f>
        <v>235.43517468553236</v>
      </c>
      <c r="R17" s="111">
        <f>Q17*(1+$C17)+R5+Modello!AH18*$B17-Modello!AI19</f>
        <v>268.19761185254214</v>
      </c>
      <c r="S17" s="111">
        <f>R17*(1+$C17)+S5+Modello!AH19*$B17-Modello!AI20</f>
        <v>306.04700606209019</v>
      </c>
      <c r="T17" s="111">
        <f>S17*(1+$C17)+T5+Modello!AH20*$B17-Modello!AI21</f>
        <v>346.58203188944583</v>
      </c>
      <c r="U17" s="111">
        <f>T17*(1+$C17)+U5+Modello!AH21*$B17-Modello!AI22</f>
        <v>389.91388581001883</v>
      </c>
      <c r="V17" s="111">
        <f>U17*(1+$C17)+V5+Modello!AH22*$B17-Modello!AI23</f>
        <v>436.15829429341073</v>
      </c>
      <c r="W17" s="111">
        <f>V17*(1+$C17)+W5+Modello!AH23*$B17-Modello!AI24</f>
        <v>485.43569543130036</v>
      </c>
      <c r="X17" s="111">
        <f>W17*(1+$C17)+X5+Modello!AH24*$B17-Modello!AI25</f>
        <v>550.7354854632116</v>
      </c>
      <c r="Y17" s="111">
        <f>X17*(1+$C17)+Y5+Modello!AH25*$B17-Modello!AI26</f>
        <v>619.65883679479646</v>
      </c>
      <c r="Z17" s="111">
        <f>Y17*(1+$C17)+Z5+Modello!AH26*$B17-Modello!AI27</f>
        <v>692.35703676032938</v>
      </c>
      <c r="AA17" s="111">
        <f>Z17*(1+$C17)+AA5+Modello!AH27*$B17-Modello!AI28</f>
        <v>768.98751607583927</v>
      </c>
      <c r="AB17" s="111">
        <f>AA17*(1+$C17)+AB5+Modello!AH28*$B17-Modello!AI29</f>
        <v>849.71409523213833</v>
      </c>
      <c r="AC17" s="111">
        <f>AB17*(1+$C17)+AC5+Modello!AH29*$B17-Modello!AI30</f>
        <v>934.70724074972122</v>
      </c>
      <c r="AD17" s="111">
        <f>AC17*(1+$C17)+AD5+Modello!AH30*$B17-Modello!AI31</f>
        <v>1024.144331690055</v>
      </c>
      <c r="AE17" s="111">
        <f>AD17*(1+$C17)+AE5+Modello!AH31*$B17-Modello!AI32</f>
        <v>1118.2099368335664</v>
      </c>
      <c r="AF17" s="111">
        <f>AE17*(1+$C17)+AF5+Modello!AH32*$B17-Modello!AI33</f>
        <v>1217.0961029510418</v>
      </c>
      <c r="AG17" s="111">
        <f>AF17*(1+$C17)+AG5+Modello!AH33*$B17-Modello!AI34</f>
        <v>1321.0026546122263</v>
      </c>
      <c r="AH17" s="111">
        <f>AG17*(1+$C17)+AH5+Modello!AH34*$B17-Modello!AI35</f>
        <v>1429.3487491486831</v>
      </c>
      <c r="AI17" s="111">
        <f>AH17*(1+$C17)+AI5+Modello!AH35*$B17-Modello!AI36</f>
        <v>1542.3124318825028</v>
      </c>
      <c r="AJ17" s="111">
        <f>AI17*(1+$C17)+AJ5+Modello!AH36*$B17-Modello!AI37</f>
        <v>1660.0788776589163</v>
      </c>
      <c r="AK17" s="111">
        <f>AJ17*(1+$C17)+AK5+Modello!AH37*$B17-Modello!AI38</f>
        <v>1782.8406759762424</v>
      </c>
    </row>
    <row r="18" spans="1:37" ht="15" customHeight="1" x14ac:dyDescent="0.2">
      <c r="A18" t="s">
        <v>442</v>
      </c>
      <c r="B18" s="112">
        <v>2.5000000000000001E-2</v>
      </c>
      <c r="C18" s="112">
        <v>5.0000000000000001E-3</v>
      </c>
      <c r="D18" s="111">
        <f>D5</f>
        <v>6.1677000000000017</v>
      </c>
      <c r="E18" s="111">
        <f>D18*(1+$C18)+E5+Modello!AH5*$B18-Modello!AI6</f>
        <v>13.478660238384002</v>
      </c>
      <c r="F18" s="111">
        <f>E18*(1+$C18)+F5+Modello!AH6*$B18-Modello!AI7</f>
        <v>21.959161157408094</v>
      </c>
      <c r="G18" s="111">
        <f>F18*(1+$C18)+G5+Modello!AH7*$B18-Modello!AI8</f>
        <v>31.635819770780049</v>
      </c>
      <c r="H18" s="111">
        <f>G18*(1+$C18)+H5+Modello!AH8*$B18-Modello!AI9</f>
        <v>42.53559362140502</v>
      </c>
      <c r="I18" s="111">
        <f>H18*(1+$C18)+I5+Modello!AH9*$B18-Modello!AI10</f>
        <v>54.685784778528031</v>
      </c>
      <c r="J18" s="111">
        <f>I18*(1+$C18)+J5+Modello!AH10*$B18-Modello!AI11</f>
        <v>67.400703040395953</v>
      </c>
      <c r="K18" s="111">
        <f>J18*(1+$C18)+K5+Modello!AH11*$B18-Modello!AI12</f>
        <v>80.690496980249534</v>
      </c>
      <c r="L18" s="111">
        <f>K18*(1+$C18)+L5+Modello!AH12*$B18-Modello!AI13</f>
        <v>94.565438133157585</v>
      </c>
      <c r="M18" s="111">
        <f>L18*(1+$C18)+M5+Modello!AH13*$B18-Modello!AI14</f>
        <v>109.03592237884796</v>
      </c>
      <c r="N18" s="111">
        <f>M18*(1+$C18)+N5+Modello!AH14*$B18-Modello!AI15</f>
        <v>130.7405488078843</v>
      </c>
      <c r="O18" s="111">
        <f>N18*(1+$C18)+O5+Modello!AH15*$B18-Modello!AI16</f>
        <v>153.28284351116736</v>
      </c>
      <c r="P18" s="111">
        <f>O18*(1+$C18)+P5+Modello!AH16*$B18-Modello!AI17</f>
        <v>176.67618781822662</v>
      </c>
      <c r="Q18" s="111">
        <f>P18*(1+$C18)+Q5+Modello!AH17*$B18-Modello!AI18</f>
        <v>200.93412541322402</v>
      </c>
      <c r="R18" s="111">
        <f>Q18*(1+$C18)+R5+Modello!AH18*$B18-Modello!AI19</f>
        <v>226.07036410741028</v>
      </c>
      <c r="S18" s="111">
        <f>R18*(1+$C18)+S5+Modello!AH19*$B18-Modello!AI20</f>
        <v>255.18262762875295</v>
      </c>
      <c r="T18" s="111">
        <f>S18*(1+$C18)+T5+Modello!AH20*$B18-Modello!AI21</f>
        <v>285.65709317308608</v>
      </c>
      <c r="U18" s="111">
        <f>T18*(1+$C18)+U5+Modello!AH21*$B18-Modello!AI22</f>
        <v>317.5011213865177</v>
      </c>
      <c r="V18" s="111">
        <f>U18*(1+$C18)+V5+Modello!AH22*$B18-Modello!AI23</f>
        <v>350.72216971498807</v>
      </c>
      <c r="W18" s="111">
        <f>V18*(1+$C18)+W5+Modello!AH23*$B18-Modello!AI24</f>
        <v>385.32779296828267</v>
      </c>
      <c r="X18" s="111">
        <f>W18*(1+$C18)+X5+Modello!AH24*$B18-Modello!AI25</f>
        <v>434.1897015167911</v>
      </c>
      <c r="Y18" s="111">
        <f>X18*(1+$C18)+Y5+Modello!AH25*$B18-Modello!AI26</f>
        <v>484.25038102367824</v>
      </c>
      <c r="Z18" s="111">
        <f>Y18*(1+$C18)+Z5+Modello!AH26*$B18-Modello!AI27</f>
        <v>535.52036419881324</v>
      </c>
      <c r="AA18" s="111">
        <f>Z18*(1+$C18)+AA5+Modello!AH27*$B18-Modello!AI28</f>
        <v>588.01031425464953</v>
      </c>
      <c r="AB18" s="111">
        <f>AA18*(1+$C18)+AB5+Modello!AH28*$B18-Modello!AI29</f>
        <v>641.7310260310187</v>
      </c>
      <c r="AC18" s="111">
        <f>AB18*(1+$C18)+AC5+Modello!AH29*$B18-Modello!AI30</f>
        <v>696.69342713017522</v>
      </c>
      <c r="AD18" s="111">
        <f>AC18*(1+$C18)+AD5+Modello!AH30*$B18-Modello!AI31</f>
        <v>752.9085790621765</v>
      </c>
      <c r="AE18" s="111">
        <f>AD18*(1+$C18)+AE5+Modello!AH31*$B18-Modello!AI32</f>
        <v>810.38767840068556</v>
      </c>
      <c r="AF18" s="111">
        <f>AE18*(1+$C18)+AF5+Modello!AH32*$B18-Modello!AI33</f>
        <v>869.14205794928273</v>
      </c>
      <c r="AG18" s="111">
        <f>AF18*(1+$C18)+AG5+Modello!AH33*$B18-Modello!AI34</f>
        <v>929.18318791837419</v>
      </c>
      <c r="AH18" s="111">
        <f>AG18*(1+$C18)+AH5+Modello!AH34*$B18-Modello!AI35</f>
        <v>989.73392026830811</v>
      </c>
      <c r="AI18" s="111">
        <f>AH18*(1+$C18)+AI5+Modello!AH35*$B18-Modello!AI36</f>
        <v>1050.7953273399382</v>
      </c>
      <c r="AJ18" s="111">
        <f>AI18*(1+$C18)+AJ5+Modello!AH36*$B18-Modello!AI37</f>
        <v>1112.3684787714722</v>
      </c>
      <c r="AK18" s="111">
        <f>AJ18*(1+$C18)+AK5+Modello!AH37*$B18-Modello!AI38</f>
        <v>1174.4544412342977</v>
      </c>
    </row>
    <row r="19" spans="1:37" ht="15" customHeight="1" x14ac:dyDescent="0.2">
      <c r="A19" t="s">
        <v>443</v>
      </c>
      <c r="B19" s="112">
        <v>2.5000000000000001E-2</v>
      </c>
      <c r="C19" s="112">
        <v>1.2500000000000001E-2</v>
      </c>
      <c r="D19" s="111">
        <f>D5</f>
        <v>6.1677000000000017</v>
      </c>
      <c r="E19" s="111">
        <f>D19*(1+$C19)+E5+Modello!AH5*$B19-Modello!AI6</f>
        <v>13.524917988384002</v>
      </c>
      <c r="F19" s="111">
        <f>E19*(1+$C19)+F5+Modello!AH6*$B19-Modello!AI7</f>
        <v>22.107087081070976</v>
      </c>
      <c r="G19" s="111">
        <f>F19*(1+$C19)+G5+Modello!AH7*$B19-Modello!AI8</f>
        <v>31.950288477169281</v>
      </c>
      <c r="H19" s="111">
        <f>G19*(1+$C19)+H5+Modello!AH8*$B19-Modello!AI9</f>
        <v>43.091261834904969</v>
      </c>
      <c r="I19" s="111">
        <f>H19*(1+$C19)+I5+Modello!AH9*$B19-Modello!AI10</f>
        <v>55.567415796857269</v>
      </c>
      <c r="J19" s="111">
        <f>I19*(1+$C19)+J5+Modello!AH10*$B19-Modello!AI11</f>
        <v>68.70349783229328</v>
      </c>
      <c r="K19" s="111">
        <f>J19*(1+$C19)+K5+Modello!AH11*$B19-Modello!AI12</f>
        <v>82.51508197984856</v>
      </c>
      <c r="L19" s="111">
        <f>K19*(1+$C19)+L5+Modello!AH12*$B19-Modello!AI13</f>
        <v>97.01800917260347</v>
      </c>
      <c r="M19" s="111">
        <f>L19*(1+$C19)+M5+Modello!AH13*$B19-Modello!AI14</f>
        <v>112.2283913422856</v>
      </c>
      <c r="N19" s="111">
        <f>M19*(1+$C19)+N5+Modello!AH14*$B19-Modello!AI15</f>
        <v>134.79069305120626</v>
      </c>
      <c r="O19" s="111">
        <f>N19*(1+$C19)+O5+Modello!AH15*$B19-Modello!AI16</f>
        <v>158.36416867359</v>
      </c>
      <c r="P19" s="111">
        <f>O19*(1+$C19)+P5+Modello!AH16*$B19-Modello!AI17</f>
        <v>182.97065087151333</v>
      </c>
      <c r="Q19" s="111">
        <f>P19*(1+$C19)+Q5+Modello!AH17*$B19-Modello!AI18</f>
        <v>208.6323406633135</v>
      </c>
      <c r="R19" s="111">
        <f>Q19*(1+$C19)+R5+Modello!AH18*$B19-Modello!AI19</f>
        <v>235.37181298872505</v>
      </c>
      <c r="S19" s="111">
        <f>R19*(1+$C19)+S5+Modello!AH19*$B19-Modello!AI20</f>
        <v>266.29587235188973</v>
      </c>
      <c r="T19" s="111">
        <f>S19*(1+$C19)+T5+Modello!AH20*$B19-Modello!AI21</f>
        <v>298.82312316247771</v>
      </c>
      <c r="U19" s="111">
        <f>T19*(1+$C19)+U5+Modello!AH21*$B19-Modello!AI22</f>
        <v>332.97415494957494</v>
      </c>
      <c r="V19" s="111">
        <f>U19*(1+$C19)+V5+Modello!AH22*$B19-Modello!AI23</f>
        <v>368.76987460798244</v>
      </c>
      <c r="W19" s="111">
        <f>V19*(1+$C19)+W5+Modello!AH23*$B19-Modello!AI24</f>
        <v>406.23151044530192</v>
      </c>
      <c r="X19" s="111">
        <f>W19*(1+$C19)+X5+Modello!AH24*$B19-Modello!AI25</f>
        <v>458.24467390953527</v>
      </c>
      <c r="Y19" s="111">
        <f>X19*(1+$C19)+Y5+Modello!AH25*$B19-Modello!AI26</f>
        <v>511.8624633327077</v>
      </c>
      <c r="Z19" s="111">
        <f>Y19*(1+$C19)+Z5+Modello!AH26*$B19-Modello!AI27</f>
        <v>567.10947539438314</v>
      </c>
      <c r="AA19" s="111">
        <f>Z19*(1+$C19)+AA5+Modello!AH27*$B19-Modello!AI28</f>
        <v>624.01069207165517</v>
      </c>
      <c r="AB19" s="111">
        <f>AA19*(1+$C19)+AB5+Modello!AH28*$B19-Modello!AI29</f>
        <v>682.59148592764677</v>
      </c>
      <c r="AC19" s="111">
        <f>AB19*(1+$C19)+AC5+Modello!AH29*$B19-Modello!AI30</f>
        <v>742.87762547074374</v>
      </c>
      <c r="AD19" s="111">
        <f>AC19*(1+$C19)+AD5+Modello!AH30*$B19-Modello!AI31</f>
        <v>804.89528058547842</v>
      </c>
      <c r="AE19" s="111">
        <f>AD19*(1+$C19)+AE5+Modello!AH31*$B19-Modello!AI32</f>
        <v>868.67102803599516</v>
      </c>
      <c r="AF19" s="111">
        <f>AE19*(1+$C19)+AF5+Modello!AH32*$B19-Modello!AI33</f>
        <v>934.23185704303887</v>
      </c>
      <c r="AG19" s="111">
        <f>AF19*(1+$C19)+AG5+Modello!AH33*$B19-Modello!AI34</f>
        <v>1001.6051749354219</v>
      </c>
      <c r="AH19" s="111">
        <f>AG19*(1+$C19)+AH5+Modello!AH34*$B19-Modello!AI35</f>
        <v>1070.030056032457</v>
      </c>
      <c r="AI19" s="111">
        <f>AH19*(1+$C19)+AI5+Modello!AH35*$B19-Modello!AI36</f>
        <v>1139.5181692031513</v>
      </c>
      <c r="AJ19" s="111">
        <f>AI19*(1+$C19)+AJ5+Modello!AH36*$B19-Modello!AI37</f>
        <v>1210.0813211130248</v>
      </c>
      <c r="AK19" s="111">
        <f>AJ19*(1+$C19)+AK5+Modello!AH37*$B19-Modello!AI38</f>
        <v>1281.7314576959059</v>
      </c>
    </row>
    <row r="20" spans="1:37" ht="15" customHeight="1" x14ac:dyDescent="0.2">
      <c r="A20" t="s">
        <v>444</v>
      </c>
      <c r="B20" s="112">
        <v>2.5000000000000001E-2</v>
      </c>
      <c r="C20" s="112">
        <v>2.5000000000000001E-2</v>
      </c>
      <c r="D20" s="111">
        <f>D5</f>
        <v>6.1677000000000017</v>
      </c>
      <c r="E20" s="111">
        <f>D20*(1+$C20)+E5+Modello!AH5*$B20-Modello!AI6</f>
        <v>13.602014238384003</v>
      </c>
      <c r="F20" s="111">
        <f>E20*(1+$C20)+F5+Modello!AH6*$B20-Modello!AI7</f>
        <v>22.355172212175773</v>
      </c>
      <c r="G20" s="111">
        <f>F20*(1+$C20)+G5+Modello!AH7*$B20-Modello!AI8</f>
        <v>32.480914325065079</v>
      </c>
      <c r="H20" s="111">
        <f>G20*(1+$C20)+H5+Modello!AH8*$B20-Modello!AI9</f>
        <v>44.034531934962779</v>
      </c>
      <c r="I20" s="111">
        <f>H20*(1+$C20)+I5+Modello!AH9*$B20-Modello!AI10</f>
        <v>57.072908422352832</v>
      </c>
      <c r="J20" s="111">
        <f>I20*(1+$C20)+J5+Modello!AH10*$B20-Modello!AI11</f>
        <v>70.941220470886947</v>
      </c>
      <c r="K20" s="111">
        <f>J20*(1+$C20)+K5+Modello!AH11*$B20-Modello!AI12</f>
        <v>85.667541407310722</v>
      </c>
      <c r="L20" s="111">
        <f>K20*(1+$C20)+L5+Modello!AH12*$B20-Modello!AI13</f>
        <v>101.2807186105003</v>
      </c>
      <c r="M20" s="111">
        <f>L20*(1+$C20)+M5+Modello!AH13*$B20-Modello!AI14</f>
        <v>117.81039363078739</v>
      </c>
      <c r="N20" s="111">
        <f>M20*(1+$C20)+N5+Modello!AH14*$B20-Modello!AI15</f>
        <v>141.91510028869916</v>
      </c>
      <c r="O20" s="111">
        <f>N20*(1+$C20)+O5+Modello!AH15*$B20-Modello!AI16</f>
        <v>167.35156975516028</v>
      </c>
      <c r="P20" s="111">
        <f>O20*(1+$C20)+P5+Modello!AH16*$B20-Modello!AI17</f>
        <v>194.16228908854274</v>
      </c>
      <c r="Q20" s="111">
        <f>P20*(1+$C20)+Q5+Modello!AH17*$B20-Modello!AI18</f>
        <v>222.39090297166257</v>
      </c>
      <c r="R20" s="111">
        <f>Q20*(1+$C20)+R5+Modello!AH18*$B20-Modello!AI19</f>
        <v>252.08224361307427</v>
      </c>
      <c r="S20" s="111">
        <f>R20*(1+$C20)+S5+Modello!AH19*$B20-Modello!AI20</f>
        <v>286.36621140420675</v>
      </c>
      <c r="T20" s="111">
        <f>S20*(1+$C20)+T5+Modello!AH20*$B20-Modello!AI21</f>
        <v>322.72391909550129</v>
      </c>
      <c r="U20" s="111">
        <f>T20*(1+$C20)+U5+Modello!AH21*$B20-Modello!AI22</f>
        <v>361.20775982045501</v>
      </c>
      <c r="V20" s="111">
        <f>U20*(1+$C20)+V5+Modello!AH22*$B20-Modello!AI23</f>
        <v>401.87149653750419</v>
      </c>
      <c r="W20" s="111">
        <f>V20*(1+$C20)+W5+Modello!AH23*$B20-Modello!AI24</f>
        <v>444.77029635566146</v>
      </c>
      <c r="X20" s="111">
        <f>W20*(1+$C20)+X5+Modello!AH24*$B20-Modello!AI25</f>
        <v>502.82482334822004</v>
      </c>
      <c r="Y20" s="111">
        <f>X20*(1+$C20)+Y5+Modello!AH25*$B20-Modello!AI26</f>
        <v>563.28517493122877</v>
      </c>
      <c r="Z20" s="111">
        <f>Y20*(1+$C20)+Z5+Modello!AH26*$B20-Modello!AI27</f>
        <v>626.21603557452602</v>
      </c>
      <c r="AA20" s="111">
        <f>Z20*(1+$C20)+AA5+Modello!AH27*$B20-Modello!AI28</f>
        <v>691.68378469873142</v>
      </c>
      <c r="AB20" s="111">
        <f>AA20*(1+$C20)+AB5+Modello!AH28*$B20-Modello!AI29</f>
        <v>759.75653952129562</v>
      </c>
      <c r="AC20" s="111">
        <f>AB20*(1+$C20)+AC5+Modello!AH29*$B20-Modello!AI30</f>
        <v>830.50419897832944</v>
      </c>
      <c r="AD20" s="111">
        <f>AC20*(1+$C20)+AD5+Modello!AH30*$B20-Modello!AI31</f>
        <v>903.99848874913812</v>
      </c>
      <c r="AE20" s="111">
        <f>AD20*(1+$C20)+AE5+Modello!AH31*$B20-Modello!AI32</f>
        <v>980.31300741106475</v>
      </c>
      <c r="AF20" s="111">
        <f>AE20*(1+$C20)+AF5+Modello!AH32*$B20-Modello!AI33</f>
        <v>1059.523273752935</v>
      </c>
      <c r="AG20" s="111">
        <f>AF20*(1+$C20)+AG5+Modello!AH33*$B20-Modello!AI34</f>
        <v>1141.7067752761031</v>
      </c>
      <c r="AH20" s="111">
        <f>AG20*(1+$C20)+AH5+Modello!AH34*$B20-Modello!AI35</f>
        <v>1226.1542610683478</v>
      </c>
      <c r="AI20" s="111">
        <f>AH20*(1+$C20)+AI5+Modello!AH35*$B20-Modello!AI36</f>
        <v>1312.920855065345</v>
      </c>
      <c r="AJ20" s="111">
        <f>AI20*(1+$C20)+AJ5+Modello!AH36*$B20-Modello!AI37</f>
        <v>1402.0630512368127</v>
      </c>
      <c r="AK20" s="111">
        <f>AJ20*(1+$C20)+AK5+Modello!AH37*$B20-Modello!AI38</f>
        <v>1493.6387475867014</v>
      </c>
    </row>
    <row r="21" spans="1:37" ht="15" customHeight="1" x14ac:dyDescent="0.2">
      <c r="A21" t="s">
        <v>445</v>
      </c>
      <c r="B21" s="112">
        <v>2.5000000000000001E-2</v>
      </c>
      <c r="C21" s="112">
        <v>0.04</v>
      </c>
      <c r="D21" s="111">
        <f>D5</f>
        <v>6.1677000000000017</v>
      </c>
      <c r="E21" s="111">
        <f>D21*(1+$C21)+E5+Modello!AH5*$B21-Modello!AI6</f>
        <v>13.694529738384002</v>
      </c>
      <c r="F21" s="111">
        <f>E21*(1+$C21)+F5+Modello!AH6*$B21-Modello!AI7</f>
        <v>22.655418545751534</v>
      </c>
      <c r="G21" s="111">
        <f>F21*(1+$C21)+G5+Modello!AH7*$B21-Modello!AI8</f>
        <v>33.128498095166513</v>
      </c>
      <c r="H21" s="111">
        <f>G21*(1+$C21)+H5+Modello!AH8*$B21-Modello!AI9</f>
        <v>45.195232770744248</v>
      </c>
      <c r="I21" s="111">
        <f>H21*(1+$C21)+I5+Modello!AH9*$B21-Modello!AI10</f>
        <v>58.940555270590011</v>
      </c>
      <c r="J21" s="111">
        <f>I21*(1+$C21)+J5+Modello!AH10*$B21-Modello!AI11</f>
        <v>73.739666819388901</v>
      </c>
      <c r="K21" s="111">
        <f>J21*(1+$C21)+K5+Modello!AH11*$B21-Modello!AI12</f>
        <v>89.642043916816064</v>
      </c>
      <c r="L21" s="111">
        <f>K21*(1+$C21)+L5+Modello!AH12*$B21-Modello!AI13</f>
        <v>106.69921434149552</v>
      </c>
      <c r="M21" s="111">
        <f>L21*(1+$C21)+M5+Modello!AH13*$B21-Modello!AI14</f>
        <v>124.96483997017994</v>
      </c>
      <c r="N21" s="111">
        <f>M21*(1+$C21)+N5+Modello!AH14*$B21-Modello!AI15</f>
        <v>151.12288038612925</v>
      </c>
      <c r="O21" s="111">
        <f>N21*(1+$C21)+O5+Modello!AH15*$B21-Modello!AI16</f>
        <v>179.05638756081808</v>
      </c>
      <c r="P21" s="111">
        <f>O21*(1+$C21)+P5+Modello!AH16*$B21-Modello!AI17</f>
        <v>208.84557315275427</v>
      </c>
      <c r="Q21" s="111">
        <f>P21*(1+$C21)+Q5+Modello!AH17*$B21-Modello!AI18</f>
        <v>240.57395273477073</v>
      </c>
      <c r="R21" s="111">
        <f>Q21*(1+$C21)+R5+Modello!AH18*$B21-Modello!AI19</f>
        <v>274.32847891128171</v>
      </c>
      <c r="S21" s="111">
        <f>R21*(1+$C21)+S5+Modello!AH19*$B21-Modello!AI20</f>
        <v>313.28352976853864</v>
      </c>
      <c r="T21" s="111">
        <f>S21*(1+$C21)+T5+Modello!AH20*$B21-Modello!AI21</f>
        <v>355.01342336546958</v>
      </c>
      <c r="U21" s="111">
        <f>T21*(1+$C21)+U5+Modello!AH21*$B21-Modello!AI22</f>
        <v>399.62970304765469</v>
      </c>
      <c r="V21" s="111">
        <f>U21*(1+$C21)+V5+Modello!AH22*$B21-Modello!AI23</f>
        <v>447.24843389109873</v>
      </c>
      <c r="W21" s="111">
        <f>V21*(1+$C21)+W5+Modello!AH23*$B21-Modello!AI24</f>
        <v>497.99038365146237</v>
      </c>
      <c r="X21" s="111">
        <f>W21*(1+$C21)+X5+Modello!AH24*$B21-Modello!AI25</f>
        <v>564.84526858118807</v>
      </c>
      <c r="Y21" s="111">
        <f>X21*(1+$C21)+Y5+Modello!AH25*$B21-Modello!AI26</f>
        <v>635.32881032373894</v>
      </c>
      <c r="Z21" s="111">
        <f>Y21*(1+$C21)+Z5+Modello!AH26*$B21-Modello!AI27</f>
        <v>709.59069400670512</v>
      </c>
      <c r="AA21" s="111">
        <f>Z21*(1+$C21)+AA5+Modello!AH27*$B21-Modello!AI28</f>
        <v>787.78667000181565</v>
      </c>
      <c r="AB21" s="111">
        <f>AA21*(1+$C21)+AB5+Modello!AH28*$B21-Modello!AI29</f>
        <v>870.07879700698425</v>
      </c>
      <c r="AC21" s="111">
        <f>AB21*(1+$C21)+AC5+Modello!AH29*$B21-Modello!AI30</f>
        <v>956.6356948562651</v>
      </c>
      <c r="AD21" s="111">
        <f>AC21*(1+$C21)+AD5+Modello!AH30*$B21-Modello!AI31</f>
        <v>1047.6328074468661</v>
      </c>
      <c r="AE21" s="111">
        <f>AD21*(1+$C21)+AE5+Modello!AH31*$B21-Modello!AI32</f>
        <v>1143.2526761879387</v>
      </c>
      <c r="AF21" s="111">
        <f>AE21*(1+$C21)+AF5+Modello!AH32*$B21-Modello!AI33</f>
        <v>1243.68522439205</v>
      </c>
      <c r="AG21" s="111">
        <f>AF21*(1+$C21)+AG5+Modello!AH33*$B21-Modello!AI34</f>
        <v>1349.1280530470769</v>
      </c>
      <c r="AH21" s="111">
        <f>AG21*(1+$C21)+AH5+Modello!AH34*$B21-Modello!AI35</f>
        <v>1458.9979915793022</v>
      </c>
      <c r="AI21" s="111">
        <f>AH21*(1+$C21)+AI5+Modello!AH35*$B21-Modello!AI36</f>
        <v>1573.470648712763</v>
      </c>
      <c r="AJ21" s="111">
        <f>AI21*(1+$C21)+AJ5+Modello!AH36*$B21-Modello!AI37</f>
        <v>1692.7286494561079</v>
      </c>
      <c r="AK21" s="111">
        <f>AJ21*(1+$C21)+AK5+Modello!AH37*$B21-Modello!AI38</f>
        <v>1816.9619155033206</v>
      </c>
    </row>
    <row r="22" spans="1:37" ht="15" customHeight="1" x14ac:dyDescent="0.2">
      <c r="A22" t="s">
        <v>446</v>
      </c>
      <c r="B22" s="112">
        <v>3.5000000000000003E-2</v>
      </c>
      <c r="C22" s="112">
        <v>5.0000000000000001E-3</v>
      </c>
      <c r="D22" s="111">
        <f>D5</f>
        <v>6.1677000000000017</v>
      </c>
      <c r="E22" s="111">
        <f>D22*(1+$C22)+E5+Modello!AH5*$B22-Modello!AI6</f>
        <v>13.509498738384002</v>
      </c>
      <c r="F22" s="111">
        <f>E22*(1+$C22)+F5+Modello!AH6*$B22-Modello!AI7</f>
        <v>22.057007477350016</v>
      </c>
      <c r="G22" s="111">
        <f>F22*(1+$C22)+G5+Modello!AH7*$B22-Modello!AI8</f>
        <v>31.842238817509738</v>
      </c>
      <c r="H22" s="111">
        <f>G22*(1+$C22)+H5+Modello!AH8*$B22-Modello!AI9</f>
        <v>42.897611528904491</v>
      </c>
      <c r="I22" s="111">
        <f>H22*(1+$C22)+I5+Modello!AH9*$B22-Modello!AI10</f>
        <v>55.255955430290776</v>
      </c>
      <c r="J22" s="111">
        <f>I22*(1+$C22)+J5+Modello!AH10*$B22-Modello!AI11</f>
        <v>68.237175482904306</v>
      </c>
      <c r="K22" s="111">
        <f>J22*(1+$C22)+K5+Modello!AH11*$B22-Modello!AI12</f>
        <v>81.853517032428513</v>
      </c>
      <c r="L22" s="111">
        <f>K22*(1+$C22)+L5+Modello!AH12*$B22-Modello!AI13</f>
        <v>96.117372919585591</v>
      </c>
      <c r="M22" s="111">
        <f>L22*(1+$C22)+M5+Modello!AH13*$B22-Modello!AI14</f>
        <v>111.0412851711114</v>
      </c>
      <c r="N22" s="111">
        <f>M22*(1+$C22)+N5+Modello!AH14*$B22-Modello!AI15</f>
        <v>133.26602417713866</v>
      </c>
      <c r="O22" s="111">
        <f>N22*(1+$C22)+O5+Modello!AH15*$B22-Modello!AI16</f>
        <v>156.3973127949962</v>
      </c>
      <c r="P22" s="111">
        <f>O22*(1+$C22)+P5+Modello!AH16*$B22-Modello!AI17</f>
        <v>180.45075490491919</v>
      </c>
      <c r="Q22" s="111">
        <f>P22*(1+$C22)+Q5+Modello!AH17*$B22-Modello!AI18</f>
        <v>205.44214284662263</v>
      </c>
      <c r="R22" s="111">
        <f>Q22*(1+$C22)+R5+Modello!AH18*$B22-Modello!AI19</f>
        <v>231.38745951550754</v>
      </c>
      <c r="S22" s="111">
        <f>R22*(1+$C22)+S5+Modello!AH19*$B22-Modello!AI20</f>
        <v>261.38673047924999</v>
      </c>
      <c r="T22" s="111">
        <f>S22*(1+$C22)+T5+Modello!AH20*$B22-Modello!AI21</f>
        <v>292.79762335915291</v>
      </c>
      <c r="U22" s="111">
        <f>T22*(1+$C22)+U5+Modello!AH21*$B22-Modello!AI22</f>
        <v>325.62452432608603</v>
      </c>
      <c r="V22" s="111">
        <f>U22*(1+$C22)+V5+Modello!AH22*$B22-Modello!AI23</f>
        <v>359.87187933980096</v>
      </c>
      <c r="W22" s="111">
        <f>V22*(1+$C22)+W5+Modello!AH23*$B22-Modello!AI24</f>
        <v>395.54419417978607</v>
      </c>
      <c r="X22" s="111">
        <f>W22*(1+$C22)+X5+Modello!AH24*$B22-Modello!AI25</f>
        <v>445.51009210336002</v>
      </c>
      <c r="Y22" s="111">
        <f>X22*(1+$C22)+Y5+Modello!AH25*$B22-Modello!AI26</f>
        <v>496.62317264942698</v>
      </c>
      <c r="Z22" s="111">
        <f>Y22*(1+$C22)+Z5+Modello!AH26*$B22-Modello!AI27</f>
        <v>548.89190455896642</v>
      </c>
      <c r="AA22" s="111">
        <f>Z22*(1+$C22)+AA5+Modello!AH27*$B22-Modello!AI28</f>
        <v>602.32486270634911</v>
      </c>
      <c r="AB22" s="111">
        <f>AA22*(1+$C22)+AB5+Modello!AH28*$B22-Modello!AI29</f>
        <v>656.9307289168072</v>
      </c>
      <c r="AC22" s="111">
        <f>AB22*(1+$C22)+AC5+Modello!AH29*$B22-Modello!AI30</f>
        <v>712.7182927910967</v>
      </c>
      <c r="AD22" s="111">
        <f>AC22*(1+$C22)+AD5+Modello!AH30*$B22-Modello!AI31</f>
        <v>769.69645253740805</v>
      </c>
      <c r="AE22" s="111">
        <f>AD22*(1+$C22)+AE5+Modello!AH31*$B22-Modello!AI32</f>
        <v>827.87421581058243</v>
      </c>
      <c r="AF22" s="111">
        <f>AE22*(1+$C22)+AF5+Modello!AH32*$B22-Modello!AI33</f>
        <v>887.26070055869025</v>
      </c>
      <c r="AG22" s="111">
        <f>AF22*(1+$C22)+AG5+Modello!AH33*$B22-Modello!AI34</f>
        <v>947.86513587703087</v>
      </c>
      <c r="AH22" s="111">
        <f>AG22*(1+$C22)+AH5+Modello!AH34*$B22-Modello!AI35</f>
        <v>1008.9081060251325</v>
      </c>
      <c r="AI22" s="111">
        <f>AH22*(1+$C22)+AI5+Modello!AH35*$B22-Modello!AI36</f>
        <v>1070.3883887279633</v>
      </c>
      <c r="AJ22" s="111">
        <f>AI22*(1+$C22)+AJ5+Modello!AH36*$B22-Modello!AI37</f>
        <v>1132.3047317601579</v>
      </c>
      <c r="AK22" s="111">
        <f>AJ22*(1+$C22)+AK5+Modello!AH37*$B22-Modello!AI38</f>
        <v>1194.655852345926</v>
      </c>
    </row>
    <row r="23" spans="1:37" ht="15" customHeight="1" x14ac:dyDescent="0.2">
      <c r="A23" t="s">
        <v>447</v>
      </c>
      <c r="B23" s="112">
        <v>3.5000000000000003E-2</v>
      </c>
      <c r="C23" s="112">
        <v>1.2500000000000001E-2</v>
      </c>
      <c r="D23" s="111">
        <f>D5</f>
        <v>6.1677000000000017</v>
      </c>
      <c r="E23" s="111">
        <f>D23*(1+$C23)+E5+Modello!AH5*$B23-Modello!AI6</f>
        <v>13.555756488384002</v>
      </c>
      <c r="F23" s="111">
        <f>E23*(1+$C23)+F5+Modello!AH6*$B23-Modello!AI7</f>
        <v>22.205164689762896</v>
      </c>
      <c r="G23" s="111">
        <f>F23*(1+$C23)+G5+Modello!AH7*$B23-Modello!AI8</f>
        <v>32.157675551157908</v>
      </c>
      <c r="H23" s="111">
        <f>G23*(1+$C23)+H5+Modello!AH8*$B23-Modello!AI9</f>
        <v>43.45580801285459</v>
      </c>
      <c r="I23" s="111">
        <f>H23*(1+$C23)+I5+Modello!AH9*$B23-Modello!AI10</f>
        <v>56.142861456757039</v>
      </c>
      <c r="J23" s="111">
        <f>I23*(1+$C23)+J5+Modello!AH10*$B23-Modello!AI11</f>
        <v>69.549587500428572</v>
      </c>
      <c r="K23" s="111">
        <f>J23*(1+$C23)+K5+Modello!AH11*$B23-Modello!AI12</f>
        <v>83.694113016293613</v>
      </c>
      <c r="L23" s="111">
        <f>K23*(1+$C23)+L5+Modello!AH12*$B23-Modello!AI13</f>
        <v>98.594877730992224</v>
      </c>
      <c r="M23" s="111">
        <f>L23*(1+$C23)+M5+Modello!AH13*$B23-Modello!AI14</f>
        <v>114.27063908955751</v>
      </c>
      <c r="N23" s="111">
        <f>M23*(1+$C23)+N5+Modello!AH14*$B23-Modello!AI15</f>
        <v>137.3685546583487</v>
      </c>
      <c r="O23" s="111">
        <f>N23*(1+$C23)+O5+Modello!AH15*$B23-Modello!AI16</f>
        <v>161.55062008854992</v>
      </c>
      <c r="P23" s="111">
        <f>O23*(1+$C23)+P5+Modello!AH16*$B23-Modello!AI17</f>
        <v>186.84145838560482</v>
      </c>
      <c r="Q23" s="111">
        <f>P23*(1+$C23)+Q5+Modello!AH17*$B23-Modello!AI18</f>
        <v>213.26611078260373</v>
      </c>
      <c r="R23" s="111">
        <f>Q23*(1+$C23)+R5+Modello!AH18*$B23-Modello!AI19</f>
        <v>240.8500431220381</v>
      </c>
      <c r="S23" s="111">
        <f>R23*(1+$C23)+S5+Modello!AH19*$B23-Modello!AI20</f>
        <v>272.70300232722849</v>
      </c>
      <c r="T23" s="111">
        <f>S23*(1+$C23)+T5+Modello!AH20*$B23-Modello!AI21</f>
        <v>306.21574908382553</v>
      </c>
      <c r="U23" s="111">
        <f>T23*(1+$C23)+U5+Modello!AH21*$B23-Modello!AI22</f>
        <v>341.40635879751073</v>
      </c>
      <c r="V23" s="111">
        <f>U23*(1+$C23)+V5+Modello!AH22*$B23-Modello!AI23</f>
        <v>378.29317067456412</v>
      </c>
      <c r="W23" s="111">
        <f>V23*(1+$C23)+W5+Modello!AH23*$B23-Modello!AI24</f>
        <v>416.89479075128236</v>
      </c>
      <c r="X23" s="111">
        <f>W23*(1+$C23)+X5+Modello!AH24*$B23-Modello!AI25</f>
        <v>470.09415258834844</v>
      </c>
      <c r="Y23" s="111">
        <f>X23*(1+$C23)+Y5+Modello!AH25*$B23-Modello!AI26</f>
        <v>524.85585958125307</v>
      </c>
      <c r="Z23" s="111">
        <f>Y23*(1+$C23)+Z5+Modello!AH26*$B23-Modello!AI27</f>
        <v>581.20217387231105</v>
      </c>
      <c r="AA23" s="111">
        <f>Z23*(1+$C23)+AA5+Modello!AH27*$B23-Modello!AI28</f>
        <v>639.15569967030285</v>
      </c>
      <c r="AB23" s="111">
        <f>AA23*(1+$C23)+AB5+Modello!AH28*$B23-Modello!AI29</f>
        <v>698.73938781310801</v>
      </c>
      <c r="AC23" s="111">
        <f>AB23*(1+$C23)+AC5+Modello!AH29*$B23-Modello!AI30</f>
        <v>759.97654039047734</v>
      </c>
      <c r="AD23" s="111">
        <f>AC23*(1+$C23)+AD5+Modello!AH30*$B23-Modello!AI31</f>
        <v>822.89081542771419</v>
      </c>
      <c r="AE23" s="111">
        <f>AD23*(1+$C23)+AE5+Modello!AH31*$B23-Modello!AI32</f>
        <v>887.50623163104797</v>
      </c>
      <c r="AF23" s="111">
        <f>AE23*(1+$C23)+AF5+Modello!AH32*$B23-Modello!AI33</f>
        <v>953.847173195491</v>
      </c>
      <c r="AG23" s="111">
        <f>AF23*(1+$C23)+AG5+Modello!AH33*$B23-Modello!AI34</f>
        <v>1021.9383946759818</v>
      </c>
      <c r="AH23" s="111">
        <f>AG23*(1+$C23)+AH5+Modello!AH34*$B23-Modello!AI35</f>
        <v>1091.0162690781483</v>
      </c>
      <c r="AI23" s="111">
        <f>AH23*(1+$C23)+AI5+Modello!AH35*$B23-Modello!AI36</f>
        <v>1161.0897146143302</v>
      </c>
      <c r="AJ23" s="111">
        <f>AI23*(1+$C23)+AJ5+Modello!AH36*$B23-Modello!AI37</f>
        <v>1232.167737135564</v>
      </c>
      <c r="AK23" s="111">
        <f>AJ23*(1+$C23)+AK5+Modello!AH37*$B23-Modello!AI38</f>
        <v>1304.2594307767258</v>
      </c>
    </row>
    <row r="24" spans="1:37" ht="15" customHeight="1" x14ac:dyDescent="0.2">
      <c r="A24" t="s">
        <v>448</v>
      </c>
      <c r="B24" s="112">
        <v>3.5000000000000003E-2</v>
      </c>
      <c r="C24" s="112">
        <v>2.5000000000000001E-2</v>
      </c>
      <c r="D24" s="111">
        <f>D5</f>
        <v>6.1677000000000017</v>
      </c>
      <c r="E24" s="111">
        <f>D24*(1+$C24)+E5+Modello!AH5*$B24-Modello!AI6</f>
        <v>13.632852738384003</v>
      </c>
      <c r="F24" s="111">
        <f>E24*(1+$C24)+F5+Modello!AH6*$B24-Modello!AI7</f>
        <v>22.453635302117693</v>
      </c>
      <c r="G24" s="111">
        <f>F24*(1+$C24)+G5+Modello!AH7*$B24-Modello!AI8</f>
        <v>32.689922487443603</v>
      </c>
      <c r="H24" s="111">
        <f>G24*(1+$C24)+H5+Modello!AH8*$B24-Modello!AI9</f>
        <v>44.403332066936898</v>
      </c>
      <c r="I24" s="111">
        <f>H24*(1+$C24)+I5+Modello!AH9*$B24-Modello!AI10</f>
        <v>57.657271212352086</v>
      </c>
      <c r="J24" s="111">
        <f>I24*(1+$C24)+J5+Modello!AH10*$B24-Modello!AI11</f>
        <v>71.803643268122954</v>
      </c>
      <c r="K24" s="111">
        <f>J24*(1+$C24)+K5+Modello!AH11*$B24-Modello!AI12</f>
        <v>86.873890021935708</v>
      </c>
      <c r="L24" s="111">
        <f>K24*(1+$C24)+L5+Modello!AH12*$B24-Modello!AI13</f>
        <v>102.90032557447903</v>
      </c>
      <c r="M24" s="111">
        <f>L24*(1+$C24)+M5+Modello!AH13*$B24-Modello!AI14</f>
        <v>119.91615910076888</v>
      </c>
      <c r="N24" s="111">
        <f>M24*(1+$C24)+N5+Modello!AH14*$B24-Modello!AI15</f>
        <v>144.58359565845981</v>
      </c>
      <c r="O24" s="111">
        <f>N24*(1+$C24)+O5+Modello!AH15*$B24-Modello!AI16</f>
        <v>170.66314404689317</v>
      </c>
      <c r="P24" s="111">
        <f>O24*(1+$C24)+P5+Modello!AH16*$B24-Modello!AI17</f>
        <v>198.20117819401352</v>
      </c>
      <c r="Q24" s="111">
        <f>P24*(1+$C24)+Q5+Modello!AH17*$B24-Modello!AI18</f>
        <v>227.2453418160427</v>
      </c>
      <c r="R24" s="111">
        <f>Q24*(1+$C24)+R5+Modello!AH18*$B24-Modello!AI19</f>
        <v>257.84458131609557</v>
      </c>
      <c r="S24" s="111">
        <f>R24*(1+$C24)+S5+Modello!AH19*$B24-Modello!AI20</f>
        <v>293.13302951516289</v>
      </c>
      <c r="T24" s="111">
        <f>S24*(1+$C24)+T5+Modello!AH20*$B24-Modello!AI21</f>
        <v>330.56531448054864</v>
      </c>
      <c r="U24" s="111">
        <f>T24*(1+$C24)+U5+Modello!AH21*$B24-Modello!AI22</f>
        <v>370.19236019269971</v>
      </c>
      <c r="V24" s="111">
        <f>U24*(1+$C24)+V5+Modello!AH22*$B24-Modello!AI23</f>
        <v>412.0664015896017</v>
      </c>
      <c r="W24" s="111">
        <f>V24*(1+$C24)+W5+Modello!AH23*$B24-Modello!AI24</f>
        <v>456.24101707262787</v>
      </c>
      <c r="X24" s="111">
        <f>W24*(1+$C24)+X5+Modello!AH24*$B24-Modello!AI25</f>
        <v>515.63521945211858</v>
      </c>
      <c r="Y24" s="111">
        <f>X24*(1+$C24)+Y5+Modello!AH25*$B24-Modello!AI26</f>
        <v>577.41163002397172</v>
      </c>
      <c r="Z24" s="111">
        <f>Y24*(1+$C24)+Z5+Modello!AH26*$B24-Modello!AI27</f>
        <v>641.63253682086338</v>
      </c>
      <c r="AA24" s="111">
        <f>Z24*(1+$C24)+AA5+Modello!AH27*$B24-Modello!AI28</f>
        <v>708.36184886597289</v>
      </c>
      <c r="AB24" s="111">
        <f>AA24*(1+$C24)+AB5+Modello!AH28*$B24-Modello!AI29</f>
        <v>777.66513698454855</v>
      </c>
      <c r="AC24" s="111">
        <f>AB24*(1+$C24)+AC5+Modello!AH29*$B24-Modello!AI30</f>
        <v>849.60967563886777</v>
      </c>
      <c r="AD24" s="111">
        <f>AC24*(1+$C24)+AD5+Modello!AH30*$B24-Modello!AI31</f>
        <v>924.2644858121954</v>
      </c>
      <c r="AE24" s="111">
        <f>AD24*(1+$C24)+AE5+Modello!AH31*$B24-Modello!AI32</f>
        <v>1001.7003789679876</v>
      </c>
      <c r="AF24" s="111">
        <f>AE24*(1+$C24)+AF5+Modello!AH32*$B24-Modello!AI33</f>
        <v>1081.9900021112423</v>
      </c>
      <c r="AG24" s="111">
        <f>AF24*(1+$C24)+AG5+Modello!AH33*$B24-Modello!AI34</f>
        <v>1165.2078839795706</v>
      </c>
      <c r="AH24" s="111">
        <f>AG24*(1+$C24)+AH5+Modello!AH34*$B24-Modello!AI35</f>
        <v>1250.6417255477766</v>
      </c>
      <c r="AI24" s="111">
        <f>AH24*(1+$C24)+AI5+Modello!AH35*$B24-Modello!AI36</f>
        <v>1338.3435108591761</v>
      </c>
      <c r="AJ24" s="111">
        <f>AI24*(1+$C24)+AJ5+Modello!AH36*$B24-Modello!AI37</f>
        <v>1428.3664997192102</v>
      </c>
      <c r="AK24" s="111">
        <f>AJ24*(1+$C24)+AK5+Modello!AH37*$B24-Modello!AI38</f>
        <v>1520.7652591391577</v>
      </c>
    </row>
    <row r="25" spans="1:37" ht="15" customHeight="1" x14ac:dyDescent="0.2">
      <c r="A25" t="s">
        <v>449</v>
      </c>
      <c r="B25" s="112">
        <v>3.5000000000000003E-2</v>
      </c>
      <c r="C25" s="112">
        <v>0.04</v>
      </c>
      <c r="D25" s="111">
        <f>D5</f>
        <v>6.1677000000000017</v>
      </c>
      <c r="E25" s="111">
        <f>D25*(1+$C25)+E5+Modello!AH5*$B25-Modello!AI6</f>
        <v>13.725368238384002</v>
      </c>
      <c r="F25" s="111">
        <f>E25*(1+$C25)+F5+Modello!AH6*$B25-Modello!AI7</f>
        <v>22.754344213193455</v>
      </c>
      <c r="G25" s="111">
        <f>F25*(1+$C25)+G5+Modello!AH7*$B25-Modello!AI8</f>
        <v>33.339464284494163</v>
      </c>
      <c r="H25" s="111">
        <f>G25*(1+$C25)+H5+Modello!AH8*$B25-Modello!AI9</f>
        <v>45.569204373181137</v>
      </c>
      <c r="I25" s="111">
        <f>H25*(1+$C25)+I5+Modello!AH9*$B25-Modello!AI10</f>
        <v>59.535828391850153</v>
      </c>
      <c r="J25" s="111">
        <f>I25*(1+$C25)+J5+Modello!AH10*$B25-Modello!AI11</f>
        <v>74.62220180298624</v>
      </c>
      <c r="K25" s="111">
        <f>J25*(1+$C25)+K5+Modello!AH11*$B25-Modello!AI12</f>
        <v>90.882245547215376</v>
      </c>
      <c r="L25" s="111">
        <f>K25*(1+$C25)+L5+Modello!AH12*$B25-Modello!AI13</f>
        <v>108.37212367109893</v>
      </c>
      <c r="M25" s="111">
        <f>L25*(1+$C25)+M5+Modello!AH13*$B25-Modello!AI14</f>
        <v>127.15033400487077</v>
      </c>
      <c r="N25" s="111">
        <f>M25*(1+$C25)+N5+Modello!AH14*$B25-Modello!AI15</f>
        <v>153.90587994523733</v>
      </c>
      <c r="O25" s="111">
        <f>N25*(1+$C25)+O5+Modello!AH15*$B25-Modello!AI16</f>
        <v>182.5270736400187</v>
      </c>
      <c r="P25" s="111">
        <f>O25*(1+$C25)+P5+Modello!AH16*$B25-Modello!AI17</f>
        <v>213.09961213156751</v>
      </c>
      <c r="Q25" s="111">
        <f>P25*(1+$C25)+Q5+Modello!AH17*$B25-Modello!AI18</f>
        <v>245.71273078400907</v>
      </c>
      <c r="R25" s="111">
        <f>Q25*(1+$C25)+R5+Modello!AH18*$B25-Modello!AI19</f>
        <v>280.45934597002127</v>
      </c>
      <c r="S25" s="111">
        <f>R25*(1+$C25)+S5+Modello!AH19*$B25-Modello!AI20</f>
        <v>320.52005347498709</v>
      </c>
      <c r="T25" s="111">
        <f>S25*(1+$C25)+T5+Modello!AH20*$B25-Modello!AI21</f>
        <v>363.44481484149333</v>
      </c>
      <c r="U25" s="111">
        <f>T25*(1+$C25)+U5+Modello!AH21*$B25-Modello!AI22</f>
        <v>409.34552028529043</v>
      </c>
      <c r="V25" s="111">
        <f>U25*(1+$C25)+V5+Modello!AH22*$B25-Modello!AI23</f>
        <v>458.33857348878661</v>
      </c>
      <c r="W25" s="111">
        <f>V25*(1+$C25)+W5+Modello!AH23*$B25-Modello!AI24</f>
        <v>510.54507187162426</v>
      </c>
      <c r="X25" s="111">
        <f>W25*(1+$C25)+X5+Modello!AH24*$B25-Modello!AI25</f>
        <v>578.9550516991643</v>
      </c>
      <c r="Y25" s="111">
        <f>X25*(1+$C25)+Y5+Modello!AH25*$B25-Modello!AI26</f>
        <v>650.99878385268119</v>
      </c>
      <c r="Z25" s="111">
        <f>Y25*(1+$C25)+Z5+Modello!AH26*$B25-Modello!AI27</f>
        <v>726.82435125308086</v>
      </c>
      <c r="AA25" s="111">
        <f>Z25*(1+$C25)+AA5+Modello!AH27*$B25-Modello!AI28</f>
        <v>806.58582392779203</v>
      </c>
      <c r="AB25" s="111">
        <f>AA25*(1+$C25)+AB5+Modello!AH28*$B25-Modello!AI29</f>
        <v>890.44349878183016</v>
      </c>
      <c r="AC25" s="111">
        <f>AB25*(1+$C25)+AC5+Modello!AH29*$B25-Modello!AI30</f>
        <v>978.56414896280899</v>
      </c>
      <c r="AD25" s="111">
        <f>AC25*(1+$C25)+AD5+Modello!AH30*$B25-Modello!AI31</f>
        <v>1071.1212832036774</v>
      </c>
      <c r="AE25" s="111">
        <f>AD25*(1+$C25)+AE5+Modello!AH31*$B25-Modello!AI32</f>
        <v>1168.295415542312</v>
      </c>
      <c r="AF25" s="111">
        <f>AE25*(1+$C25)+AF5+Modello!AH32*$B25-Modello!AI33</f>
        <v>1270.2743458330597</v>
      </c>
      <c r="AG25" s="111">
        <f>AF25*(1+$C25)+AG5+Modello!AH33*$B25-Modello!AI34</f>
        <v>1377.2534514819292</v>
      </c>
      <c r="AH25" s="111">
        <f>AG25*(1+$C25)+AH5+Modello!AH34*$B25-Modello!AI35</f>
        <v>1488.6472340099233</v>
      </c>
      <c r="AI25" s="111">
        <f>AH25*(1+$C25)+AI5+Modello!AH35*$B25-Modello!AI36</f>
        <v>1604.6288655430255</v>
      </c>
      <c r="AJ25" s="111">
        <f>AI25*(1+$C25)+AJ5+Modello!AH36*$B25-Modello!AI37</f>
        <v>1725.3784212533014</v>
      </c>
      <c r="AK25" s="111">
        <f>AJ25*(1+$C25)+AK5+Modello!AH37*$B25-Modello!AI38</f>
        <v>1851.083155030401</v>
      </c>
    </row>
    <row r="27" spans="1:37" x14ac:dyDescent="0.2">
      <c r="A27" t="s">
        <v>450</v>
      </c>
    </row>
    <row r="28" spans="1:37" ht="15" customHeight="1" x14ac:dyDescent="0.2">
      <c r="A28" s="113" t="s">
        <v>451</v>
      </c>
      <c r="B28" t="s">
        <v>394</v>
      </c>
      <c r="C28" t="s">
        <v>395</v>
      </c>
      <c r="D28" t="s">
        <v>396</v>
      </c>
      <c r="E28" t="s">
        <v>397</v>
      </c>
      <c r="F28" t="s">
        <v>398</v>
      </c>
      <c r="G28" t="s">
        <v>399</v>
      </c>
      <c r="H28" t="s">
        <v>400</v>
      </c>
      <c r="I28" t="s">
        <v>401</v>
      </c>
      <c r="J28" t="s">
        <v>402</v>
      </c>
      <c r="K28" t="s">
        <v>403</v>
      </c>
      <c r="L28" t="s">
        <v>404</v>
      </c>
      <c r="M28" t="s">
        <v>405</v>
      </c>
      <c r="N28" t="s">
        <v>406</v>
      </c>
      <c r="O28" t="s">
        <v>407</v>
      </c>
      <c r="P28" t="s">
        <v>408</v>
      </c>
      <c r="Q28" t="s">
        <v>409</v>
      </c>
      <c r="R28" t="s">
        <v>410</v>
      </c>
      <c r="S28" t="s">
        <v>411</v>
      </c>
      <c r="T28" t="s">
        <v>412</v>
      </c>
      <c r="U28" t="s">
        <v>413</v>
      </c>
      <c r="V28" t="s">
        <v>414</v>
      </c>
      <c r="W28" t="s">
        <v>415</v>
      </c>
      <c r="X28" t="s">
        <v>416</v>
      </c>
      <c r="Y28" t="s">
        <v>417</v>
      </c>
      <c r="Z28" t="s">
        <v>418</v>
      </c>
      <c r="AA28" t="s">
        <v>419</v>
      </c>
      <c r="AB28" t="s">
        <v>420</v>
      </c>
      <c r="AC28" t="s">
        <v>421</v>
      </c>
      <c r="AD28" t="s">
        <v>422</v>
      </c>
      <c r="AE28" t="s">
        <v>423</v>
      </c>
      <c r="AF28" t="s">
        <v>424</v>
      </c>
      <c r="AG28" t="s">
        <v>425</v>
      </c>
      <c r="AH28" t="s">
        <v>426</v>
      </c>
      <c r="AI28" t="s">
        <v>427</v>
      </c>
      <c r="AJ28" t="s">
        <v>428</v>
      </c>
      <c r="AK28" t="s">
        <v>429</v>
      </c>
    </row>
    <row r="29" spans="1:37" ht="15" customHeight="1" x14ac:dyDescent="0.2">
      <c r="A29" t="s">
        <v>452</v>
      </c>
      <c r="B29" t="s">
        <v>453</v>
      </c>
      <c r="C29" t="s">
        <v>453</v>
      </c>
      <c r="D29" s="111">
        <f>Modello!AH5</f>
        <v>3.0838500000000004</v>
      </c>
      <c r="E29" s="111">
        <f>Modello!AH6</f>
        <v>6.6853627441920018</v>
      </c>
      <c r="F29" s="111">
        <f>Modello!AH7</f>
        <v>10.808349518805688</v>
      </c>
      <c r="G29" s="111">
        <f>Modello!AH8</f>
        <v>15.456676553613075</v>
      </c>
      <c r="H29" s="111">
        <f>Modello!AH9</f>
        <v>20.634265472578448</v>
      </c>
      <c r="I29" s="111">
        <f>Modello!AH10</f>
        <v>26.345093748679211</v>
      </c>
      <c r="J29" s="111">
        <f>Modello!AH11</f>
        <v>32.236524745808367</v>
      </c>
      <c r="K29" s="111">
        <f>Modello!AH12</f>
        <v>38.309963398811576</v>
      </c>
      <c r="L29" s="111">
        <f>Modello!AH13</f>
        <v>44.566833190329838</v>
      </c>
      <c r="M29" s="111">
        <f>Modello!AH14</f>
        <v>51.008576302963007</v>
      </c>
      <c r="N29" s="111">
        <f>Modello!AH15</f>
        <v>57.636653772819017</v>
      </c>
      <c r="O29" s="111">
        <f>Modello!AH16</f>
        <v>64.452545644460088</v>
      </c>
      <c r="P29" s="111">
        <f>Modello!AH17</f>
        <v>71.457751127257396</v>
      </c>
      <c r="Q29" s="111">
        <f>Modello!AH18</f>
        <v>78.653788753165685</v>
      </c>
      <c r="R29" s="111">
        <f>Modello!AH19</f>
        <v>86.042196535929349</v>
      </c>
      <c r="S29" s="111">
        <f>Modello!AH20</f>
        <v>90.540682131731828</v>
      </c>
      <c r="T29" s="111">
        <f>Modello!AH21</f>
        <v>94.717010257107859</v>
      </c>
      <c r="U29" s="111">
        <f>Modello!AH22</f>
        <v>98.56896705466913</v>
      </c>
      <c r="V29" s="111">
        <f>Modello!AH23</f>
        <v>102.09430385664965</v>
      </c>
      <c r="W29" s="111">
        <f>Modello!AH24</f>
        <v>105.29073690079696</v>
      </c>
      <c r="X29" s="111">
        <f>Modello!AH25</f>
        <v>99.579908624696202</v>
      </c>
      <c r="Y29" s="111">
        <f>Modello!AH26</f>
        <v>93.688477627567039</v>
      </c>
      <c r="Z29" s="111">
        <f>Modello!AH27</f>
        <v>87.615038974563831</v>
      </c>
      <c r="AA29" s="111">
        <f>Modello!AH28</f>
        <v>81.358169183045561</v>
      </c>
      <c r="AB29" s="111">
        <f>Modello!AH29</f>
        <v>74.916426070412399</v>
      </c>
      <c r="AC29" s="111">
        <f>Modello!AH30</f>
        <v>68.28834860055639</v>
      </c>
      <c r="AD29" s="111">
        <f>Modello!AH31</f>
        <v>61.472456728915319</v>
      </c>
      <c r="AE29" s="111">
        <f>Modello!AH32</f>
        <v>54.46725124611801</v>
      </c>
      <c r="AF29" s="111">
        <f>Modello!AH33</f>
        <v>47.271213620209721</v>
      </c>
      <c r="AG29" s="111">
        <f>Modello!AH34</f>
        <v>39.882805837446057</v>
      </c>
      <c r="AH29" s="111">
        <f>Modello!AH35</f>
        <v>32.30047024164358</v>
      </c>
      <c r="AI29" s="111">
        <f>Modello!AH36</f>
        <v>24.522629372075542</v>
      </c>
      <c r="AJ29" s="111">
        <f>Modello!AH37</f>
        <v>16.547685799900592</v>
      </c>
      <c r="AK29" s="111">
        <f>Modello!AH38</f>
        <v>8.374021963112682</v>
      </c>
    </row>
    <row r="32" spans="1:37" ht="15" customHeight="1" x14ac:dyDescent="0.2">
      <c r="A32" s="113" t="s">
        <v>454</v>
      </c>
      <c r="B32" t="s">
        <v>394</v>
      </c>
      <c r="C32" t="s">
        <v>395</v>
      </c>
      <c r="D32" t="s">
        <v>396</v>
      </c>
      <c r="E32" t="s">
        <v>397</v>
      </c>
      <c r="F32" t="s">
        <v>398</v>
      </c>
      <c r="G32" t="s">
        <v>399</v>
      </c>
      <c r="H32" t="s">
        <v>400</v>
      </c>
      <c r="I32" t="s">
        <v>401</v>
      </c>
      <c r="J32" t="s">
        <v>402</v>
      </c>
      <c r="K32" t="s">
        <v>403</v>
      </c>
      <c r="L32" t="s">
        <v>404</v>
      </c>
      <c r="M32" t="s">
        <v>405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412</v>
      </c>
      <c r="U32" t="s">
        <v>413</v>
      </c>
      <c r="V32" t="s">
        <v>414</v>
      </c>
      <c r="W32" t="s">
        <v>415</v>
      </c>
      <c r="X32" t="s">
        <v>416</v>
      </c>
      <c r="Y32" t="s">
        <v>417</v>
      </c>
      <c r="Z32" t="s">
        <v>418</v>
      </c>
      <c r="AA32" t="s">
        <v>419</v>
      </c>
      <c r="AB32" t="s">
        <v>420</v>
      </c>
      <c r="AC32" t="s">
        <v>421</v>
      </c>
      <c r="AD32" t="s">
        <v>422</v>
      </c>
      <c r="AE32" t="s">
        <v>423</v>
      </c>
      <c r="AF32" t="s">
        <v>424</v>
      </c>
      <c r="AG32" t="s">
        <v>425</v>
      </c>
      <c r="AH32" t="s">
        <v>426</v>
      </c>
      <c r="AI32" t="s">
        <v>427</v>
      </c>
      <c r="AJ32" t="s">
        <v>428</v>
      </c>
      <c r="AK32" t="s">
        <v>429</v>
      </c>
    </row>
    <row r="33" spans="1:37" ht="15" customHeight="1" x14ac:dyDescent="0.2">
      <c r="A33" t="s">
        <v>434</v>
      </c>
      <c r="B33" s="112">
        <v>7.4999999999999997E-3</v>
      </c>
      <c r="C33" s="112">
        <v>5.0000000000000001E-3</v>
      </c>
      <c r="D33" s="111">
        <f t="shared" ref="D33:AK33" si="0">D10+D29</f>
        <v>9.2515500000000017</v>
      </c>
      <c r="E33" s="111">
        <f t="shared" si="0"/>
        <v>20.110055607576001</v>
      </c>
      <c r="F33" s="111">
        <f t="shared" si="0"/>
        <v>32.596279616315414</v>
      </c>
      <c r="G33" s="111">
        <f t="shared" si="0"/>
        <v>46.731262992616166</v>
      </c>
      <c r="H33" s="111">
        <f t="shared" si="0"/>
        <v>62.536327755859396</v>
      </c>
      <c r="I33" s="111">
        <f t="shared" si="0"/>
        <v>80.033079886622431</v>
      </c>
      <c r="J33" s="111">
        <f t="shared" si="0"/>
        <v>98.17340101181469</v>
      </c>
      <c r="K33" s="111">
        <f t="shared" si="0"/>
        <v>116.96517528774788</v>
      </c>
      <c r="L33" s="111">
        <f t="shared" si="0"/>
        <v>136.41638544723844</v>
      </c>
      <c r="M33" s="111">
        <f t="shared" si="0"/>
        <v>156.53511379534996</v>
      </c>
      <c r="N33" s="111">
        <f t="shared" si="0"/>
        <v>183.9576206845081</v>
      </c>
      <c r="O33" s="111">
        <f t="shared" si="0"/>
        <v>212.28506790892692</v>
      </c>
      <c r="P33" s="111">
        <f t="shared" si="0"/>
        <v>241.52844654377191</v>
      </c>
      <c r="Q33" s="111">
        <f t="shared" si="0"/>
        <v>271.69888365794202</v>
      </c>
      <c r="R33" s="111">
        <f t="shared" si="0"/>
        <v>302.80764367916936</v>
      </c>
      <c r="S33" s="111">
        <f t="shared" si="0"/>
        <v>334.86612977211485</v>
      </c>
      <c r="T33" s="111">
        <f t="shared" si="0"/>
        <v>367.87817560457682</v>
      </c>
      <c r="U33" s="111">
        <f t="shared" si="0"/>
        <v>401.85413329694228</v>
      </c>
      <c r="V33" s="111">
        <f t="shared" si="0"/>
        <v>436.80448172821525</v>
      </c>
      <c r="W33" s="111">
        <f t="shared" si="0"/>
        <v>472.73982774894864</v>
      </c>
      <c r="X33" s="111">
        <f t="shared" si="0"/>
        <v>513.9589266149917</v>
      </c>
      <c r="Y33" s="111">
        <f t="shared" si="0"/>
        <v>556.28647330618514</v>
      </c>
      <c r="Z33" s="111">
        <f t="shared" si="0"/>
        <v>599.73520754310914</v>
      </c>
      <c r="AA33" s="111">
        <f t="shared" si="0"/>
        <v>644.31802364722091</v>
      </c>
      <c r="AB33" s="111">
        <f t="shared" si="0"/>
        <v>690.04797205130126</v>
      </c>
      <c r="AC33" s="111">
        <f t="shared" si="0"/>
        <v>736.93826082411874</v>
      </c>
      <c r="AD33" s="111">
        <f t="shared" si="0"/>
        <v>785.00225720943615</v>
      </c>
      <c r="AE33" s="111">
        <f t="shared" si="0"/>
        <v>834.25348917948372</v>
      </c>
      <c r="AF33" s="111">
        <f t="shared" si="0"/>
        <v>884.70564700302884</v>
      </c>
      <c r="AG33" s="111">
        <f t="shared" si="0"/>
        <v>936.37258482817072</v>
      </c>
      <c r="AH33" s="111">
        <f t="shared" si="0"/>
        <v>988.47956543550856</v>
      </c>
      <c r="AI33" s="111">
        <f t="shared" si="0"/>
        <v>1041.0300992829698</v>
      </c>
      <c r="AJ33" s="111">
        <f t="shared" si="0"/>
        <v>1094.027721841172</v>
      </c>
      <c r="AK33" s="111">
        <f t="shared" si="0"/>
        <v>1147.4759937520605</v>
      </c>
    </row>
    <row r="34" spans="1:37" ht="15" customHeight="1" x14ac:dyDescent="0.2">
      <c r="A34" t="s">
        <v>435</v>
      </c>
      <c r="B34" s="112">
        <v>7.4999999999999997E-3</v>
      </c>
      <c r="C34" s="112">
        <v>1.2500000000000001E-2</v>
      </c>
      <c r="D34" s="111">
        <f t="shared" ref="D34:AK34" si="1">D11+D29</f>
        <v>9.2515500000000017</v>
      </c>
      <c r="E34" s="111">
        <f t="shared" si="1"/>
        <v>20.156313357576003</v>
      </c>
      <c r="F34" s="111">
        <f t="shared" si="1"/>
        <v>32.743800784665801</v>
      </c>
      <c r="G34" s="111">
        <f t="shared" si="1"/>
        <v>47.044037651302254</v>
      </c>
      <c r="H34" s="111">
        <f t="shared" si="1"/>
        <v>63.087571496071583</v>
      </c>
      <c r="I34" s="111">
        <f t="shared" si="1"/>
        <v>80.90547964071186</v>
      </c>
      <c r="J34" s="111">
        <f t="shared" si="1"/>
        <v>99.459365658864826</v>
      </c>
      <c r="K34" s="111">
        <f t="shared" si="1"/>
        <v>118.76174106488119</v>
      </c>
      <c r="L34" s="111">
        <f t="shared" si="1"/>
        <v>138.82532238575294</v>
      </c>
      <c r="M34" s="111">
        <f t="shared" si="1"/>
        <v>159.6630340875227</v>
      </c>
      <c r="N34" s="111">
        <f t="shared" si="1"/>
        <v>187.91608901152597</v>
      </c>
      <c r="O34" s="111">
        <f t="shared" si="1"/>
        <v>217.24042434187018</v>
      </c>
      <c r="P34" s="111">
        <f t="shared" si="1"/>
        <v>247.65448884911046</v>
      </c>
      <c r="Q34" s="111">
        <f t="shared" si="1"/>
        <v>279.1770317077212</v>
      </c>
      <c r="R34" s="111">
        <f t="shared" si="1"/>
        <v>311.82710679135653</v>
      </c>
      <c r="S34" s="111">
        <f t="shared" si="1"/>
        <v>345.62407702677876</v>
      </c>
      <c r="T34" s="111">
        <f t="shared" si="1"/>
        <v>380.60303805722691</v>
      </c>
      <c r="U34" s="111">
        <f t="shared" si="1"/>
        <v>416.78676527035657</v>
      </c>
      <c r="V34" s="111">
        <f t="shared" si="1"/>
        <v>454.19841034811429</v>
      </c>
      <c r="W34" s="111">
        <f t="shared" si="1"/>
        <v>492.86150681063322</v>
      </c>
      <c r="X34" s="111">
        <f t="shared" si="1"/>
        <v>537.08799484630856</v>
      </c>
      <c r="Y34" s="111">
        <f t="shared" si="1"/>
        <v>582.81249752532062</v>
      </c>
      <c r="Z34" s="111">
        <f t="shared" si="1"/>
        <v>630.06229203257351</v>
      </c>
      <c r="AA34" s="111">
        <f t="shared" si="1"/>
        <v>678.86509795706775</v>
      </c>
      <c r="AB34" s="111">
        <f t="shared" si="1"/>
        <v>729.24908369850255</v>
      </c>
      <c r="AC34" s="111">
        <f t="shared" si="1"/>
        <v>781.24287296176681</v>
      </c>
      <c r="AD34" s="111">
        <f t="shared" si="1"/>
        <v>834.87555134048148</v>
      </c>
      <c r="AE34" s="111">
        <f t="shared" si="1"/>
        <v>890.17667299077107</v>
      </c>
      <c r="AF34" s="111">
        <f t="shared" si="1"/>
        <v>947.17626739645766</v>
      </c>
      <c r="AG34" s="111">
        <f t="shared" si="1"/>
        <v>1005.9048462268885</v>
      </c>
      <c r="AH34" s="111">
        <f t="shared" si="1"/>
        <v>1065.6046534441409</v>
      </c>
      <c r="AI34" s="111">
        <f t="shared" si="1"/>
        <v>1126.290594105664</v>
      </c>
      <c r="AJ34" s="111">
        <f t="shared" si="1"/>
        <v>1187.9777788734818</v>
      </c>
      <c r="AK34" s="111">
        <f t="shared" si="1"/>
        <v>1250.6815267675838</v>
      </c>
    </row>
    <row r="35" spans="1:37" ht="15" customHeight="1" x14ac:dyDescent="0.2">
      <c r="A35" t="s">
        <v>436</v>
      </c>
      <c r="B35" s="112">
        <v>7.4999999999999997E-3</v>
      </c>
      <c r="C35" s="112">
        <v>2.5000000000000001E-2</v>
      </c>
      <c r="D35" s="111">
        <f t="shared" ref="D35:AK35" si="2">D12+D29</f>
        <v>9.2515500000000017</v>
      </c>
      <c r="E35" s="111">
        <f t="shared" si="2"/>
        <v>20.233409607576004</v>
      </c>
      <c r="F35" s="111">
        <f t="shared" si="2"/>
        <v>32.991211323583101</v>
      </c>
      <c r="G35" s="111">
        <f t="shared" si="2"/>
        <v>47.571826594515741</v>
      </c>
      <c r="H35" s="111">
        <f t="shared" si="2"/>
        <v>64.023397176586514</v>
      </c>
      <c r="I35" s="111">
        <f t="shared" si="2"/>
        <v>82.395367288533336</v>
      </c>
      <c r="J35" s="111">
        <f t="shared" si="2"/>
        <v>101.66850532153224</v>
      </c>
      <c r="K35" s="111">
        <f t="shared" si="2"/>
        <v>121.8663947305285</v>
      </c>
      <c r="L35" s="111">
        <f t="shared" si="2"/>
        <v>143.01323961386728</v>
      </c>
      <c r="M35" s="111">
        <f t="shared" si="2"/>
        <v>165.13388036128271</v>
      </c>
      <c r="N35" s="111">
        <f t="shared" si="2"/>
        <v>194.88188716443696</v>
      </c>
      <c r="O35" s="111">
        <f t="shared" si="2"/>
        <v>226.00886038908777</v>
      </c>
      <c r="P35" s="111">
        <f t="shared" si="2"/>
        <v>258.55198428122611</v>
      </c>
      <c r="Q35" s="111">
        <f t="shared" si="2"/>
        <v>292.5494237471629</v>
      </c>
      <c r="R35" s="111">
        <f t="shared" si="2"/>
        <v>328.04034916871626</v>
      </c>
      <c r="S35" s="111">
        <f t="shared" si="2"/>
        <v>365.06496184176524</v>
      </c>
      <c r="T35" s="111">
        <f t="shared" si="2"/>
        <v>403.71848742877614</v>
      </c>
      <c r="U35" s="111">
        <f t="shared" si="2"/>
        <v>444.05367622369596</v>
      </c>
      <c r="V35" s="111">
        <f t="shared" si="2"/>
        <v>486.12471655298316</v>
      </c>
      <c r="W35" s="111">
        <f t="shared" si="2"/>
        <v>529.98727200176711</v>
      </c>
      <c r="X35" s="111">
        <f t="shared" si="2"/>
        <v>579.98653879109372</v>
      </c>
      <c r="Y35" s="111">
        <f t="shared" si="2"/>
        <v>632.25235614649569</v>
      </c>
      <c r="Z35" s="111">
        <f t="shared" si="2"/>
        <v>686.85219736799979</v>
      </c>
      <c r="AA35" s="111">
        <f t="shared" si="2"/>
        <v>743.8553415891048</v>
      </c>
      <c r="AB35" s="111">
        <f t="shared" si="2"/>
        <v>803.33292003101576</v>
      </c>
      <c r="AC35" s="111">
        <f t="shared" si="2"/>
        <v>865.35796342294384</v>
      </c>
      <c r="AD35" s="111">
        <f t="shared" si="2"/>
        <v>930.0054506177031</v>
      </c>
      <c r="AE35" s="111">
        <f t="shared" si="2"/>
        <v>997.35235843256771</v>
      </c>
      <c r="AF35" s="111">
        <f t="shared" si="2"/>
        <v>1067.4777127461073</v>
      </c>
      <c r="AG35" s="111">
        <f t="shared" si="2"/>
        <v>1140.4626408824824</v>
      </c>
      <c r="AH35" s="111">
        <f t="shared" si="2"/>
        <v>1215.6016684709928</v>
      </c>
      <c r="AI35" s="111">
        <f t="shared" si="2"/>
        <v>1292.9538367982184</v>
      </c>
      <c r="AJ35" s="111">
        <f t="shared" si="2"/>
        <v>1372.5797021925198</v>
      </c>
      <c r="AK35" s="111">
        <f t="shared" si="2"/>
        <v>1454.5413743330173</v>
      </c>
    </row>
    <row r="36" spans="1:37" ht="15" customHeight="1" x14ac:dyDescent="0.2">
      <c r="A36" t="s">
        <v>437</v>
      </c>
      <c r="B36" s="112">
        <v>7.4999999999999997E-3</v>
      </c>
      <c r="C36" s="112">
        <v>0.04</v>
      </c>
      <c r="D36" s="111">
        <f t="shared" ref="D36:AK36" si="3">D13+D29</f>
        <v>9.2515500000000017</v>
      </c>
      <c r="E36" s="111">
        <f t="shared" si="3"/>
        <v>20.325925107576005</v>
      </c>
      <c r="F36" s="111">
        <f t="shared" si="3"/>
        <v>33.290648146533862</v>
      </c>
      <c r="G36" s="111">
        <f t="shared" si="3"/>
        <v>48.215983817456191</v>
      </c>
      <c r="H36" s="111">
        <f t="shared" si="3"/>
        <v>65.175047939058118</v>
      </c>
      <c r="I36" s="111">
        <f t="shared" si="3"/>
        <v>84.243921057063943</v>
      </c>
      <c r="J36" s="111">
        <f t="shared" si="3"/>
        <v>104.43175534390188</v>
      </c>
      <c r="K36" s="111">
        <f t="shared" si="3"/>
        <v>125.78165446242879</v>
      </c>
      <c r="L36" s="111">
        <f t="shared" si="3"/>
        <v>148.33845620501936</v>
      </c>
      <c r="M36" s="111">
        <f t="shared" si="3"/>
        <v>172.14880171243391</v>
      </c>
      <c r="N36" s="111">
        <f t="shared" si="3"/>
        <v>203.88928493050904</v>
      </c>
      <c r="O36" s="111">
        <f t="shared" si="3"/>
        <v>237.43523256667703</v>
      </c>
      <c r="P36" s="111">
        <f t="shared" si="3"/>
        <v>272.85875606708839</v>
      </c>
      <c r="Q36" s="111">
        <f t="shared" si="3"/>
        <v>310.2348799017692</v>
      </c>
      <c r="R36" s="111">
        <f t="shared" si="3"/>
        <v>349.64165809441675</v>
      </c>
      <c r="S36" s="111">
        <f t="shared" si="3"/>
        <v>391.16029541398564</v>
      </c>
      <c r="T36" s="111">
        <f t="shared" si="3"/>
        <v>434.97549853953586</v>
      </c>
      <c r="U36" s="111">
        <f t="shared" si="3"/>
        <v>481.19598993646116</v>
      </c>
      <c r="V36" s="111">
        <f t="shared" si="3"/>
        <v>529.93499345179441</v>
      </c>
      <c r="W36" s="111">
        <f t="shared" si="3"/>
        <v>581.31041616697587</v>
      </c>
      <c r="X36" s="111">
        <f t="shared" si="3"/>
        <v>639.73305674942549</v>
      </c>
      <c r="Y36" s="111">
        <f t="shared" si="3"/>
        <v>701.59483427565669</v>
      </c>
      <c r="Z36" s="111">
        <f t="shared" si="3"/>
        <v>767.04683280011125</v>
      </c>
      <c r="AA36" s="111">
        <f t="shared" si="3"/>
        <v>836.24631981440234</v>
      </c>
      <c r="AB36" s="111">
        <f t="shared" si="3"/>
        <v>909.35699497141616</v>
      </c>
      <c r="AC36" s="111">
        <f t="shared" si="3"/>
        <v>986.54924877036956</v>
      </c>
      <c r="AD36" s="111">
        <f t="shared" si="3"/>
        <v>1068.0004316013617</v>
      </c>
      <c r="AE36" s="111">
        <f t="shared" si="3"/>
        <v>1153.8951335639042</v>
      </c>
      <c r="AF36" s="111">
        <f t="shared" si="3"/>
        <v>1244.4254754904941</v>
      </c>
      <c r="AG36" s="111">
        <f t="shared" si="3"/>
        <v>1339.7914116235333</v>
      </c>
      <c r="AH36" s="111">
        <f t="shared" si="3"/>
        <v>1439.4122875673613</v>
      </c>
      <c r="AI36" s="111">
        <f t="shared" si="3"/>
        <v>1543.4663986318819</v>
      </c>
      <c r="AJ36" s="111">
        <f t="shared" si="3"/>
        <v>1652.1392346109221</v>
      </c>
      <c r="AK36" s="111">
        <f t="shared" si="3"/>
        <v>1765.6237682940452</v>
      </c>
    </row>
    <row r="37" spans="1:37" ht="15" customHeight="1" x14ac:dyDescent="0.2">
      <c r="A37" t="s">
        <v>438</v>
      </c>
      <c r="B37" s="112">
        <v>1.4999999999999999E-2</v>
      </c>
      <c r="C37" s="112">
        <v>5.0000000000000001E-3</v>
      </c>
      <c r="D37" s="111">
        <f t="shared" ref="D37:AK37" si="4">D14+D29</f>
        <v>9.2515500000000017</v>
      </c>
      <c r="E37" s="111">
        <f t="shared" si="4"/>
        <v>20.133184482576006</v>
      </c>
      <c r="F37" s="111">
        <f t="shared" si="4"/>
        <v>32.669664356271866</v>
      </c>
      <c r="G37" s="111">
        <f t="shared" si="4"/>
        <v>46.886077277663439</v>
      </c>
      <c r="H37" s="111">
        <f t="shared" si="4"/>
        <v>62.807841186484005</v>
      </c>
      <c r="I37" s="111">
        <f t="shared" si="4"/>
        <v>80.460707875444484</v>
      </c>
      <c r="J37" s="111">
        <f t="shared" si="4"/>
        <v>98.800755343695968</v>
      </c>
      <c r="K37" s="111">
        <f t="shared" si="4"/>
        <v>117.83744032688213</v>
      </c>
      <c r="L37" s="111">
        <f t="shared" si="4"/>
        <v>137.58033653705945</v>
      </c>
      <c r="M37" s="111">
        <f t="shared" si="4"/>
        <v>158.03913588954754</v>
      </c>
      <c r="N37" s="111">
        <f t="shared" si="4"/>
        <v>185.85172721144892</v>
      </c>
      <c r="O37" s="111">
        <f t="shared" si="4"/>
        <v>214.62091987179861</v>
      </c>
      <c r="P37" s="111">
        <f t="shared" si="4"/>
        <v>244.35937185879146</v>
      </c>
      <c r="Q37" s="111">
        <f t="shared" si="4"/>
        <v>275.07989673299107</v>
      </c>
      <c r="R37" s="111">
        <f t="shared" si="4"/>
        <v>306.79546523524243</v>
      </c>
      <c r="S37" s="111">
        <f t="shared" si="4"/>
        <v>339.51920690998776</v>
      </c>
      <c r="T37" s="111">
        <f t="shared" si="4"/>
        <v>373.23357324412711</v>
      </c>
      <c r="U37" s="111">
        <f t="shared" si="4"/>
        <v>407.94668550161862</v>
      </c>
      <c r="V37" s="111">
        <f t="shared" si="4"/>
        <v>443.66676394682497</v>
      </c>
      <c r="W37" s="111">
        <f t="shared" si="4"/>
        <v>480.40212865757633</v>
      </c>
      <c r="X37" s="111">
        <f t="shared" si="4"/>
        <v>522.4492195549185</v>
      </c>
      <c r="Y37" s="111">
        <f t="shared" si="4"/>
        <v>565.56606702549675</v>
      </c>
      <c r="Z37" s="111">
        <f t="shared" si="4"/>
        <v>609.76386281322425</v>
      </c>
      <c r="AA37" s="111">
        <f t="shared" si="4"/>
        <v>655.05393498599585</v>
      </c>
      <c r="AB37" s="111">
        <f t="shared" si="4"/>
        <v>701.44774921564283</v>
      </c>
      <c r="AC37" s="111">
        <f t="shared" si="4"/>
        <v>748.95691006981019</v>
      </c>
      <c r="AD37" s="111">
        <f t="shared" si="4"/>
        <v>797.59316231586024</v>
      </c>
      <c r="AE37" s="111">
        <f t="shared" si="4"/>
        <v>847.36839223690674</v>
      </c>
      <c r="AF37" s="111">
        <f t="shared" si="4"/>
        <v>898.29462896008476</v>
      </c>
      <c r="AG37" s="111">
        <f t="shared" si="4"/>
        <v>950.38404579716348</v>
      </c>
      <c r="AH37" s="111">
        <f t="shared" si="4"/>
        <v>1002.8602047531272</v>
      </c>
      <c r="AI37" s="111">
        <f t="shared" si="4"/>
        <v>1055.7248953239887</v>
      </c>
      <c r="AJ37" s="111">
        <f t="shared" si="4"/>
        <v>1108.9799115826866</v>
      </c>
      <c r="AK37" s="111">
        <f t="shared" si="4"/>
        <v>1162.6270520857818</v>
      </c>
    </row>
    <row r="38" spans="1:37" ht="15" customHeight="1" x14ac:dyDescent="0.2">
      <c r="A38" t="s">
        <v>439</v>
      </c>
      <c r="B38" s="112">
        <v>1.4999999999999999E-2</v>
      </c>
      <c r="C38" s="112">
        <v>1.2500000000000001E-2</v>
      </c>
      <c r="D38" s="111">
        <f t="shared" ref="D38:AK38" si="5">D15+D29</f>
        <v>9.2515500000000017</v>
      </c>
      <c r="E38" s="111">
        <f t="shared" si="5"/>
        <v>20.179442232576005</v>
      </c>
      <c r="F38" s="111">
        <f t="shared" si="5"/>
        <v>32.817358991184747</v>
      </c>
      <c r="G38" s="111">
        <f t="shared" si="5"/>
        <v>47.199577956793732</v>
      </c>
      <c r="H38" s="111">
        <f t="shared" si="5"/>
        <v>63.360981129533805</v>
      </c>
      <c r="I38" s="111">
        <f t="shared" si="5"/>
        <v>81.337063885636709</v>
      </c>
      <c r="J38" s="111">
        <f t="shared" si="5"/>
        <v>100.09393290996633</v>
      </c>
      <c r="K38" s="111">
        <f t="shared" si="5"/>
        <v>119.64601434221504</v>
      </c>
      <c r="L38" s="111">
        <f t="shared" si="5"/>
        <v>140.00797380454455</v>
      </c>
      <c r="M38" s="111">
        <f t="shared" si="5"/>
        <v>161.19471989797665</v>
      </c>
      <c r="N38" s="111">
        <f t="shared" si="5"/>
        <v>189.84948521688278</v>
      </c>
      <c r="O38" s="111">
        <f t="shared" si="5"/>
        <v>219.63026290309011</v>
      </c>
      <c r="P38" s="111">
        <f t="shared" si="5"/>
        <v>250.55759448467916</v>
      </c>
      <c r="Q38" s="111">
        <f t="shared" si="5"/>
        <v>282.65235929718892</v>
      </c>
      <c r="R38" s="111">
        <f t="shared" si="5"/>
        <v>315.93577939134138</v>
      </c>
      <c r="S38" s="111">
        <f t="shared" si="5"/>
        <v>350.42942450828286</v>
      </c>
      <c r="T38" s="111">
        <f t="shared" si="5"/>
        <v>386.14750749823781</v>
      </c>
      <c r="U38" s="111">
        <f t="shared" si="5"/>
        <v>423.11091815630846</v>
      </c>
      <c r="V38" s="111">
        <f t="shared" si="5"/>
        <v>461.34088239805055</v>
      </c>
      <c r="W38" s="111">
        <f t="shared" si="5"/>
        <v>500.85896704011861</v>
      </c>
      <c r="X38" s="111">
        <f t="shared" si="5"/>
        <v>545.97510385541841</v>
      </c>
      <c r="Y38" s="111">
        <f t="shared" si="5"/>
        <v>592.55754471172963</v>
      </c>
      <c r="Z38" s="111">
        <f t="shared" si="5"/>
        <v>640.63181589101953</v>
      </c>
      <c r="AA38" s="111">
        <f t="shared" si="5"/>
        <v>690.22385365605362</v>
      </c>
      <c r="AB38" s="111">
        <f t="shared" si="5"/>
        <v>741.3600101125985</v>
      </c>
      <c r="AC38" s="111">
        <f t="shared" si="5"/>
        <v>794.06705915156704</v>
      </c>
      <c r="AD38" s="111">
        <f t="shared" si="5"/>
        <v>848.37220247215851</v>
      </c>
      <c r="AE38" s="111">
        <f t="shared" si="5"/>
        <v>904.30307568706087</v>
      </c>
      <c r="AF38" s="111">
        <f t="shared" si="5"/>
        <v>961.88775451079687</v>
      </c>
      <c r="AG38" s="111">
        <f t="shared" si="5"/>
        <v>1021.1547610323086</v>
      </c>
      <c r="AH38" s="111">
        <f t="shared" si="5"/>
        <v>1081.3443132284096</v>
      </c>
      <c r="AI38" s="111">
        <f t="shared" si="5"/>
        <v>1142.4692531640483</v>
      </c>
      <c r="AJ38" s="111">
        <f t="shared" si="5"/>
        <v>1204.5425908903865</v>
      </c>
      <c r="AK38" s="111">
        <f t="shared" si="5"/>
        <v>1267.5775065781991</v>
      </c>
    </row>
    <row r="39" spans="1:37" ht="15" customHeight="1" x14ac:dyDescent="0.2">
      <c r="A39" t="s">
        <v>440</v>
      </c>
      <c r="B39" s="112">
        <v>1.4999999999999999E-2</v>
      </c>
      <c r="C39" s="112">
        <v>2.5000000000000001E-2</v>
      </c>
      <c r="D39" s="111">
        <f t="shared" ref="D39:AK39" si="6">D16+D29</f>
        <v>9.2515500000000017</v>
      </c>
      <c r="E39" s="111">
        <f t="shared" si="6"/>
        <v>20.256538482576005</v>
      </c>
      <c r="F39" s="111">
        <f t="shared" si="6"/>
        <v>33.065058641039542</v>
      </c>
      <c r="G39" s="111">
        <f t="shared" si="6"/>
        <v>47.728582716299627</v>
      </c>
      <c r="H39" s="111">
        <f t="shared" si="6"/>
        <v>64.299997275567108</v>
      </c>
      <c r="I39" s="111">
        <f t="shared" si="6"/>
        <v>82.833639381032782</v>
      </c>
      <c r="J39" s="111">
        <f t="shared" si="6"/>
        <v>102.31532241945928</v>
      </c>
      <c r="K39" s="111">
        <f t="shared" si="6"/>
        <v>122.77115619149728</v>
      </c>
      <c r="L39" s="111">
        <f t="shared" si="6"/>
        <v>144.22794483685138</v>
      </c>
      <c r="M39" s="111">
        <f t="shared" si="6"/>
        <v>166.71320446376888</v>
      </c>
      <c r="N39" s="111">
        <f t="shared" si="6"/>
        <v>196.88325869175748</v>
      </c>
      <c r="O39" s="111">
        <f t="shared" si="6"/>
        <v>228.49254110788746</v>
      </c>
      <c r="P39" s="111">
        <f t="shared" si="6"/>
        <v>261.5811511103293</v>
      </c>
      <c r="Q39" s="111">
        <f t="shared" si="6"/>
        <v>296.19025288044804</v>
      </c>
      <c r="R39" s="111">
        <f t="shared" si="6"/>
        <v>332.36210244598226</v>
      </c>
      <c r="S39" s="111">
        <f t="shared" si="6"/>
        <v>370.1400754249824</v>
      </c>
      <c r="T39" s="111">
        <f t="shared" si="6"/>
        <v>409.59953396756168</v>
      </c>
      <c r="U39" s="111">
        <f t="shared" si="6"/>
        <v>450.79212650287946</v>
      </c>
      <c r="V39" s="111">
        <f t="shared" si="6"/>
        <v>493.77089534205629</v>
      </c>
      <c r="W39" s="111">
        <f t="shared" si="6"/>
        <v>538.59031253949195</v>
      </c>
      <c r="X39" s="111">
        <f t="shared" si="6"/>
        <v>589.59433586901764</v>
      </c>
      <c r="Y39" s="111">
        <f t="shared" si="6"/>
        <v>642.84719746605288</v>
      </c>
      <c r="Z39" s="111">
        <f t="shared" si="6"/>
        <v>698.41457330275273</v>
      </c>
      <c r="AA39" s="111">
        <f t="shared" si="6"/>
        <v>756.36388971453573</v>
      </c>
      <c r="AB39" s="111">
        <f t="shared" si="6"/>
        <v>816.76436812845532</v>
      </c>
      <c r="AC39" s="111">
        <f t="shared" si="6"/>
        <v>879.68707091834767</v>
      </c>
      <c r="AD39" s="111">
        <f t="shared" si="6"/>
        <v>945.20494841499612</v>
      </c>
      <c r="AE39" s="111">
        <f t="shared" si="6"/>
        <v>1013.3928871002599</v>
      </c>
      <c r="AF39" s="111">
        <f t="shared" si="6"/>
        <v>1084.3277590148377</v>
      </c>
      <c r="AG39" s="111">
        <f t="shared" si="6"/>
        <v>1158.0884724100827</v>
      </c>
      <c r="AH39" s="111">
        <f t="shared" si="6"/>
        <v>1233.9672668305636</v>
      </c>
      <c r="AI39" s="111">
        <f t="shared" si="6"/>
        <v>1312.0208286435907</v>
      </c>
      <c r="AJ39" s="111">
        <f t="shared" si="6"/>
        <v>1392.307288554317</v>
      </c>
      <c r="AK39" s="111">
        <f t="shared" si="6"/>
        <v>1474.8862579973588</v>
      </c>
    </row>
    <row r="40" spans="1:37" ht="15" customHeight="1" x14ac:dyDescent="0.2">
      <c r="A40" t="s">
        <v>441</v>
      </c>
      <c r="B40" s="112">
        <v>1.4999999999999999E-2</v>
      </c>
      <c r="C40" s="112">
        <v>0.04</v>
      </c>
      <c r="D40" s="111">
        <f t="shared" ref="D40:AK40" si="7">D17+D29</f>
        <v>9.2515500000000017</v>
      </c>
      <c r="E40" s="111">
        <f t="shared" si="7"/>
        <v>20.349053982576002</v>
      </c>
      <c r="F40" s="111">
        <f t="shared" si="7"/>
        <v>33.364842397115304</v>
      </c>
      <c r="G40" s="111">
        <f t="shared" si="7"/>
        <v>48.374208459451935</v>
      </c>
      <c r="H40" s="111">
        <f t="shared" si="7"/>
        <v>65.455526640885807</v>
      </c>
      <c r="I40" s="111">
        <f t="shared" si="7"/>
        <v>84.690375898009066</v>
      </c>
      <c r="J40" s="111">
        <f t="shared" si="7"/>
        <v>105.09365658159992</v>
      </c>
      <c r="K40" s="111">
        <f t="shared" si="7"/>
        <v>126.71180568522831</v>
      </c>
      <c r="L40" s="111">
        <f t="shared" si="7"/>
        <v>149.59313820222195</v>
      </c>
      <c r="M40" s="111">
        <f t="shared" si="7"/>
        <v>173.7879222384521</v>
      </c>
      <c r="N40" s="111">
        <f t="shared" si="7"/>
        <v>205.97653459984014</v>
      </c>
      <c r="O40" s="111">
        <f t="shared" si="7"/>
        <v>240.03824712607752</v>
      </c>
      <c r="P40" s="111">
        <f t="shared" si="7"/>
        <v>276.04928530119838</v>
      </c>
      <c r="Q40" s="111">
        <f t="shared" si="7"/>
        <v>314.08896343869804</v>
      </c>
      <c r="R40" s="111">
        <f t="shared" si="7"/>
        <v>354.23980838847149</v>
      </c>
      <c r="S40" s="111">
        <f t="shared" si="7"/>
        <v>396.58768819382203</v>
      </c>
      <c r="T40" s="111">
        <f t="shared" si="7"/>
        <v>441.29904214655369</v>
      </c>
      <c r="U40" s="111">
        <f t="shared" si="7"/>
        <v>488.48285286468797</v>
      </c>
      <c r="V40" s="111">
        <f t="shared" si="7"/>
        <v>538.25259815006041</v>
      </c>
      <c r="W40" s="111">
        <f t="shared" si="7"/>
        <v>590.72643233209737</v>
      </c>
      <c r="X40" s="111">
        <f t="shared" si="7"/>
        <v>650.31539408790786</v>
      </c>
      <c r="Y40" s="111">
        <f t="shared" si="7"/>
        <v>713.34731442236352</v>
      </c>
      <c r="Z40" s="111">
        <f t="shared" si="7"/>
        <v>779.97207573489322</v>
      </c>
      <c r="AA40" s="111">
        <f t="shared" si="7"/>
        <v>850.34568525888483</v>
      </c>
      <c r="AB40" s="111">
        <f t="shared" si="7"/>
        <v>924.63052130255073</v>
      </c>
      <c r="AC40" s="111">
        <f t="shared" si="7"/>
        <v>1002.9955893502777</v>
      </c>
      <c r="AD40" s="111">
        <f t="shared" si="7"/>
        <v>1085.6167884189704</v>
      </c>
      <c r="AE40" s="111">
        <f t="shared" si="7"/>
        <v>1172.6771880796844</v>
      </c>
      <c r="AF40" s="111">
        <f t="shared" si="7"/>
        <v>1264.3673165712514</v>
      </c>
      <c r="AG40" s="111">
        <f t="shared" si="7"/>
        <v>1360.8854604496723</v>
      </c>
      <c r="AH40" s="111">
        <f t="shared" si="7"/>
        <v>1461.6492193903266</v>
      </c>
      <c r="AI40" s="111">
        <f t="shared" si="7"/>
        <v>1566.8350612545782</v>
      </c>
      <c r="AJ40" s="111">
        <f t="shared" si="7"/>
        <v>1676.6265634588169</v>
      </c>
      <c r="AK40" s="111">
        <f t="shared" si="7"/>
        <v>1791.2146979393551</v>
      </c>
    </row>
    <row r="41" spans="1:37" ht="15" customHeight="1" x14ac:dyDescent="0.2">
      <c r="A41" t="s">
        <v>442</v>
      </c>
      <c r="B41" s="112">
        <v>2.5000000000000001E-2</v>
      </c>
      <c r="C41" s="112">
        <v>5.0000000000000001E-3</v>
      </c>
      <c r="D41" s="111">
        <f t="shared" ref="D41:AK41" si="8">D18+D29</f>
        <v>9.2515500000000017</v>
      </c>
      <c r="E41" s="111">
        <f t="shared" si="8"/>
        <v>20.164022982576004</v>
      </c>
      <c r="F41" s="111">
        <f t="shared" si="8"/>
        <v>32.767510676213782</v>
      </c>
      <c r="G41" s="111">
        <f t="shared" si="8"/>
        <v>47.092496324393124</v>
      </c>
      <c r="H41" s="111">
        <f t="shared" si="8"/>
        <v>63.169859093983469</v>
      </c>
      <c r="I41" s="111">
        <f t="shared" si="8"/>
        <v>81.03087852720725</v>
      </c>
      <c r="J41" s="111">
        <f t="shared" si="8"/>
        <v>99.637227786204321</v>
      </c>
      <c r="K41" s="111">
        <f t="shared" si="8"/>
        <v>119.00046037906111</v>
      </c>
      <c r="L41" s="111">
        <f t="shared" si="8"/>
        <v>139.13227132348743</v>
      </c>
      <c r="M41" s="111">
        <f t="shared" si="8"/>
        <v>160.04449868181098</v>
      </c>
      <c r="N41" s="111">
        <f t="shared" si="8"/>
        <v>188.37720258070331</v>
      </c>
      <c r="O41" s="111">
        <f t="shared" si="8"/>
        <v>217.73538915562744</v>
      </c>
      <c r="P41" s="111">
        <f t="shared" si="8"/>
        <v>248.13393894548403</v>
      </c>
      <c r="Q41" s="111">
        <f t="shared" si="8"/>
        <v>279.58791416638974</v>
      </c>
      <c r="R41" s="111">
        <f t="shared" si="8"/>
        <v>312.11256064333963</v>
      </c>
      <c r="S41" s="111">
        <f t="shared" si="8"/>
        <v>345.72330976048477</v>
      </c>
      <c r="T41" s="111">
        <f t="shared" si="8"/>
        <v>380.37410343019394</v>
      </c>
      <c r="U41" s="111">
        <f t="shared" si="8"/>
        <v>416.07008844118684</v>
      </c>
      <c r="V41" s="111">
        <f t="shared" si="8"/>
        <v>452.81647357163774</v>
      </c>
      <c r="W41" s="111">
        <f t="shared" si="8"/>
        <v>490.61852986907962</v>
      </c>
      <c r="X41" s="111">
        <f t="shared" si="8"/>
        <v>533.76961014148731</v>
      </c>
      <c r="Y41" s="111">
        <f t="shared" si="8"/>
        <v>577.93885865124525</v>
      </c>
      <c r="Z41" s="111">
        <f t="shared" si="8"/>
        <v>623.13540317337709</v>
      </c>
      <c r="AA41" s="111">
        <f t="shared" si="8"/>
        <v>669.36848343769509</v>
      </c>
      <c r="AB41" s="111">
        <f t="shared" si="8"/>
        <v>716.6474521014311</v>
      </c>
      <c r="AC41" s="111">
        <f t="shared" si="8"/>
        <v>764.98177573073167</v>
      </c>
      <c r="AD41" s="111">
        <f t="shared" si="8"/>
        <v>814.38103579109179</v>
      </c>
      <c r="AE41" s="111">
        <f t="shared" si="8"/>
        <v>864.85492964680361</v>
      </c>
      <c r="AF41" s="111">
        <f t="shared" si="8"/>
        <v>916.41327156949251</v>
      </c>
      <c r="AG41" s="111">
        <f t="shared" si="8"/>
        <v>969.06599375582027</v>
      </c>
      <c r="AH41" s="111">
        <f t="shared" si="8"/>
        <v>1022.0343905099517</v>
      </c>
      <c r="AI41" s="111">
        <f t="shared" si="8"/>
        <v>1075.3179567120137</v>
      </c>
      <c r="AJ41" s="111">
        <f t="shared" si="8"/>
        <v>1128.9161645713727</v>
      </c>
      <c r="AK41" s="111">
        <f t="shared" si="8"/>
        <v>1182.8284631974104</v>
      </c>
    </row>
    <row r="42" spans="1:37" ht="15" customHeight="1" x14ac:dyDescent="0.2">
      <c r="A42" t="s">
        <v>443</v>
      </c>
      <c r="B42" s="112">
        <v>2.5000000000000001E-2</v>
      </c>
      <c r="C42" s="112">
        <v>1.2500000000000001E-2</v>
      </c>
      <c r="D42" s="111">
        <f t="shared" ref="D42:AK42" si="9">D19+D29</f>
        <v>9.2515500000000017</v>
      </c>
      <c r="E42" s="111">
        <f t="shared" si="9"/>
        <v>20.210280732576003</v>
      </c>
      <c r="F42" s="111">
        <f t="shared" si="9"/>
        <v>32.915436599876664</v>
      </c>
      <c r="G42" s="111">
        <f t="shared" si="9"/>
        <v>47.406965030782359</v>
      </c>
      <c r="H42" s="111">
        <f t="shared" si="9"/>
        <v>63.725527307483418</v>
      </c>
      <c r="I42" s="111">
        <f t="shared" si="9"/>
        <v>81.91250954553648</v>
      </c>
      <c r="J42" s="111">
        <f t="shared" si="9"/>
        <v>100.94002257810165</v>
      </c>
      <c r="K42" s="111">
        <f t="shared" si="9"/>
        <v>120.82504537866014</v>
      </c>
      <c r="L42" s="111">
        <f t="shared" si="9"/>
        <v>141.5848423629333</v>
      </c>
      <c r="M42" s="111">
        <f t="shared" si="9"/>
        <v>163.23696764524863</v>
      </c>
      <c r="N42" s="111">
        <f t="shared" si="9"/>
        <v>192.42734682402528</v>
      </c>
      <c r="O42" s="111">
        <f t="shared" si="9"/>
        <v>222.81671431805009</v>
      </c>
      <c r="P42" s="111">
        <f t="shared" si="9"/>
        <v>254.42840199877071</v>
      </c>
      <c r="Q42" s="111">
        <f t="shared" si="9"/>
        <v>287.28612941647918</v>
      </c>
      <c r="R42" s="111">
        <f t="shared" si="9"/>
        <v>321.41400952465438</v>
      </c>
      <c r="S42" s="111">
        <f t="shared" si="9"/>
        <v>356.83655448362157</v>
      </c>
      <c r="T42" s="111">
        <f t="shared" si="9"/>
        <v>393.54013341958557</v>
      </c>
      <c r="U42" s="111">
        <f t="shared" si="9"/>
        <v>431.54312200424408</v>
      </c>
      <c r="V42" s="111">
        <f t="shared" si="9"/>
        <v>470.86417846463212</v>
      </c>
      <c r="W42" s="111">
        <f t="shared" si="9"/>
        <v>511.52224734609888</v>
      </c>
      <c r="X42" s="111">
        <f t="shared" si="9"/>
        <v>557.82458253423147</v>
      </c>
      <c r="Y42" s="111">
        <f t="shared" si="9"/>
        <v>605.55094096027472</v>
      </c>
      <c r="Z42" s="111">
        <f t="shared" si="9"/>
        <v>654.72451436894698</v>
      </c>
      <c r="AA42" s="111">
        <f t="shared" si="9"/>
        <v>705.36886125470073</v>
      </c>
      <c r="AB42" s="111">
        <f t="shared" si="9"/>
        <v>757.50791199805917</v>
      </c>
      <c r="AC42" s="111">
        <f t="shared" si="9"/>
        <v>811.16597407130007</v>
      </c>
      <c r="AD42" s="111">
        <f t="shared" si="9"/>
        <v>866.36773731439371</v>
      </c>
      <c r="AE42" s="111">
        <f t="shared" si="9"/>
        <v>923.13827928211322</v>
      </c>
      <c r="AF42" s="111">
        <f t="shared" si="9"/>
        <v>981.50307066324854</v>
      </c>
      <c r="AG42" s="111">
        <f t="shared" si="9"/>
        <v>1041.487980772868</v>
      </c>
      <c r="AH42" s="111">
        <f t="shared" si="9"/>
        <v>1102.3305262741005</v>
      </c>
      <c r="AI42" s="111">
        <f t="shared" si="9"/>
        <v>1164.0407985752267</v>
      </c>
      <c r="AJ42" s="111">
        <f t="shared" si="9"/>
        <v>1226.6290069129254</v>
      </c>
      <c r="AK42" s="111">
        <f t="shared" si="9"/>
        <v>1290.1054796590186</v>
      </c>
    </row>
    <row r="43" spans="1:37" ht="15" customHeight="1" x14ac:dyDescent="0.2">
      <c r="A43" t="s">
        <v>444</v>
      </c>
      <c r="B43" s="112">
        <v>2.5000000000000001E-2</v>
      </c>
      <c r="C43" s="112">
        <v>2.5000000000000001E-2</v>
      </c>
      <c r="D43" s="111">
        <f t="shared" ref="D43:AK43" si="10">D20+D29</f>
        <v>9.2515500000000017</v>
      </c>
      <c r="E43" s="111">
        <f t="shared" si="10"/>
        <v>20.287376982576006</v>
      </c>
      <c r="F43" s="111">
        <f t="shared" si="10"/>
        <v>33.163521730981458</v>
      </c>
      <c r="G43" s="111">
        <f t="shared" si="10"/>
        <v>47.937590878678151</v>
      </c>
      <c r="H43" s="111">
        <f t="shared" si="10"/>
        <v>64.668797407541234</v>
      </c>
      <c r="I43" s="111">
        <f t="shared" si="10"/>
        <v>83.418002171032043</v>
      </c>
      <c r="J43" s="111">
        <f t="shared" si="10"/>
        <v>103.17774521669531</v>
      </c>
      <c r="K43" s="111">
        <f t="shared" si="10"/>
        <v>123.9775048061223</v>
      </c>
      <c r="L43" s="111">
        <f t="shared" si="10"/>
        <v>145.84755180083013</v>
      </c>
      <c r="M43" s="111">
        <f t="shared" si="10"/>
        <v>168.8189699337504</v>
      </c>
      <c r="N43" s="111">
        <f t="shared" si="10"/>
        <v>199.55175406151818</v>
      </c>
      <c r="O43" s="111">
        <f t="shared" si="10"/>
        <v>231.80411539962037</v>
      </c>
      <c r="P43" s="111">
        <f t="shared" si="10"/>
        <v>265.62004021580015</v>
      </c>
      <c r="Q43" s="111">
        <f t="shared" si="10"/>
        <v>301.04469172482823</v>
      </c>
      <c r="R43" s="111">
        <f t="shared" si="10"/>
        <v>338.12444014900359</v>
      </c>
      <c r="S43" s="111">
        <f t="shared" si="10"/>
        <v>376.90689353593859</v>
      </c>
      <c r="T43" s="111">
        <f t="shared" si="10"/>
        <v>417.44092935260915</v>
      </c>
      <c r="U43" s="111">
        <f t="shared" si="10"/>
        <v>459.77672687512415</v>
      </c>
      <c r="V43" s="111">
        <f t="shared" si="10"/>
        <v>503.9658003941538</v>
      </c>
      <c r="W43" s="111">
        <f t="shared" si="10"/>
        <v>550.06103325645836</v>
      </c>
      <c r="X43" s="111">
        <f t="shared" si="10"/>
        <v>602.40473197291624</v>
      </c>
      <c r="Y43" s="111">
        <f t="shared" si="10"/>
        <v>656.97365255879583</v>
      </c>
      <c r="Z43" s="111">
        <f t="shared" si="10"/>
        <v>713.83107454908986</v>
      </c>
      <c r="AA43" s="111">
        <f t="shared" si="10"/>
        <v>773.04195388177698</v>
      </c>
      <c r="AB43" s="111">
        <f t="shared" si="10"/>
        <v>834.67296559170802</v>
      </c>
      <c r="AC43" s="111">
        <f t="shared" si="10"/>
        <v>898.79254757888589</v>
      </c>
      <c r="AD43" s="111">
        <f t="shared" si="10"/>
        <v>965.47094547805341</v>
      </c>
      <c r="AE43" s="111">
        <f t="shared" si="10"/>
        <v>1034.7802586571827</v>
      </c>
      <c r="AF43" s="111">
        <f t="shared" si="10"/>
        <v>1106.7944873731446</v>
      </c>
      <c r="AG43" s="111">
        <f t="shared" si="10"/>
        <v>1181.5895811135492</v>
      </c>
      <c r="AH43" s="111">
        <f t="shared" si="10"/>
        <v>1258.4547313099913</v>
      </c>
      <c r="AI43" s="111">
        <f t="shared" si="10"/>
        <v>1337.4434844374205</v>
      </c>
      <c r="AJ43" s="111">
        <f t="shared" si="10"/>
        <v>1418.6107370367133</v>
      </c>
      <c r="AK43" s="111">
        <f t="shared" si="10"/>
        <v>1502.012769549814</v>
      </c>
    </row>
    <row r="44" spans="1:37" ht="15" customHeight="1" x14ac:dyDescent="0.2">
      <c r="A44" t="s">
        <v>445</v>
      </c>
      <c r="B44" s="112">
        <v>2.5000000000000001E-2</v>
      </c>
      <c r="C44" s="112">
        <v>0.04</v>
      </c>
      <c r="D44" s="111">
        <f t="shared" ref="D44:AK44" si="11">D21+D29</f>
        <v>9.2515500000000017</v>
      </c>
      <c r="E44" s="111">
        <f t="shared" si="11"/>
        <v>20.379892482576004</v>
      </c>
      <c r="F44" s="111">
        <f t="shared" si="11"/>
        <v>33.463768064557222</v>
      </c>
      <c r="G44" s="111">
        <f t="shared" si="11"/>
        <v>48.585174648779585</v>
      </c>
      <c r="H44" s="111">
        <f t="shared" si="11"/>
        <v>65.829498243322689</v>
      </c>
      <c r="I44" s="111">
        <f t="shared" si="11"/>
        <v>85.285649019269215</v>
      </c>
      <c r="J44" s="111">
        <f t="shared" si="11"/>
        <v>105.97619156519727</v>
      </c>
      <c r="K44" s="111">
        <f t="shared" si="11"/>
        <v>127.95200731562764</v>
      </c>
      <c r="L44" s="111">
        <f t="shared" si="11"/>
        <v>151.26604753182536</v>
      </c>
      <c r="M44" s="111">
        <f t="shared" si="11"/>
        <v>175.97341627314296</v>
      </c>
      <c r="N44" s="111">
        <f t="shared" si="11"/>
        <v>208.75953415894827</v>
      </c>
      <c r="O44" s="111">
        <f t="shared" si="11"/>
        <v>243.50893320527817</v>
      </c>
      <c r="P44" s="111">
        <f t="shared" si="11"/>
        <v>280.30332428001168</v>
      </c>
      <c r="Q44" s="111">
        <f t="shared" si="11"/>
        <v>319.22774148793644</v>
      </c>
      <c r="R44" s="111">
        <f t="shared" si="11"/>
        <v>360.37067544721106</v>
      </c>
      <c r="S44" s="111">
        <f t="shared" si="11"/>
        <v>403.82421190027048</v>
      </c>
      <c r="T44" s="111">
        <f t="shared" si="11"/>
        <v>449.73043362257744</v>
      </c>
      <c r="U44" s="111">
        <f t="shared" si="11"/>
        <v>498.19867010232383</v>
      </c>
      <c r="V44" s="111">
        <f t="shared" si="11"/>
        <v>549.3427377477484</v>
      </c>
      <c r="W44" s="111">
        <f t="shared" si="11"/>
        <v>603.28112055225938</v>
      </c>
      <c r="X44" s="111">
        <f t="shared" si="11"/>
        <v>664.42517720588421</v>
      </c>
      <c r="Y44" s="111">
        <f t="shared" si="11"/>
        <v>729.017287951306</v>
      </c>
      <c r="Z44" s="111">
        <f t="shared" si="11"/>
        <v>797.20573298126897</v>
      </c>
      <c r="AA44" s="111">
        <f t="shared" si="11"/>
        <v>869.14483918486121</v>
      </c>
      <c r="AB44" s="111">
        <f t="shared" si="11"/>
        <v>944.99522307739664</v>
      </c>
      <c r="AC44" s="111">
        <f t="shared" si="11"/>
        <v>1024.9240434568214</v>
      </c>
      <c r="AD44" s="111">
        <f t="shared" si="11"/>
        <v>1109.1052641757815</v>
      </c>
      <c r="AE44" s="111">
        <f t="shared" si="11"/>
        <v>1197.7199274340567</v>
      </c>
      <c r="AF44" s="111">
        <f t="shared" si="11"/>
        <v>1290.9564380122597</v>
      </c>
      <c r="AG44" s="111">
        <f t="shared" si="11"/>
        <v>1389.010858884523</v>
      </c>
      <c r="AH44" s="111">
        <f t="shared" si="11"/>
        <v>1491.2984618209457</v>
      </c>
      <c r="AI44" s="111">
        <f t="shared" si="11"/>
        <v>1597.9932780848385</v>
      </c>
      <c r="AJ44" s="111">
        <f t="shared" si="11"/>
        <v>1709.2763352560085</v>
      </c>
      <c r="AK44" s="111">
        <f t="shared" si="11"/>
        <v>1825.3359374664333</v>
      </c>
    </row>
    <row r="45" spans="1:37" ht="15" customHeight="1" x14ac:dyDescent="0.2">
      <c r="A45" t="s">
        <v>446</v>
      </c>
      <c r="B45" s="112">
        <v>3.5000000000000003E-2</v>
      </c>
      <c r="C45" s="112">
        <v>5.0000000000000001E-3</v>
      </c>
      <c r="D45" s="111">
        <f t="shared" ref="D45:AK45" si="12">D22+D29</f>
        <v>9.2515500000000017</v>
      </c>
      <c r="E45" s="111">
        <f t="shared" si="12"/>
        <v>20.194861482576002</v>
      </c>
      <c r="F45" s="111">
        <f t="shared" si="12"/>
        <v>32.865356996155704</v>
      </c>
      <c r="G45" s="111">
        <f t="shared" si="12"/>
        <v>47.298915371122817</v>
      </c>
      <c r="H45" s="111">
        <f t="shared" si="12"/>
        <v>63.53187700148294</v>
      </c>
      <c r="I45" s="111">
        <f t="shared" si="12"/>
        <v>81.601049178969987</v>
      </c>
      <c r="J45" s="111">
        <f t="shared" si="12"/>
        <v>100.47370022871267</v>
      </c>
      <c r="K45" s="111">
        <f t="shared" si="12"/>
        <v>120.16348043124009</v>
      </c>
      <c r="L45" s="111">
        <f t="shared" si="12"/>
        <v>140.68420610991544</v>
      </c>
      <c r="M45" s="111">
        <f t="shared" si="12"/>
        <v>162.04986147407442</v>
      </c>
      <c r="N45" s="111">
        <f t="shared" si="12"/>
        <v>190.90267794995768</v>
      </c>
      <c r="O45" s="111">
        <f t="shared" si="12"/>
        <v>220.84985843945628</v>
      </c>
      <c r="P45" s="111">
        <f t="shared" si="12"/>
        <v>251.9085060321766</v>
      </c>
      <c r="Q45" s="111">
        <f t="shared" si="12"/>
        <v>284.09593159978829</v>
      </c>
      <c r="R45" s="111">
        <f t="shared" si="12"/>
        <v>317.42965605143689</v>
      </c>
      <c r="S45" s="111">
        <f t="shared" si="12"/>
        <v>351.92741261098183</v>
      </c>
      <c r="T45" s="111">
        <f t="shared" si="12"/>
        <v>387.51463361626077</v>
      </c>
      <c r="U45" s="111">
        <f t="shared" si="12"/>
        <v>424.19349138075518</v>
      </c>
      <c r="V45" s="111">
        <f t="shared" si="12"/>
        <v>461.96618319645063</v>
      </c>
      <c r="W45" s="111">
        <f t="shared" si="12"/>
        <v>500.83493108058303</v>
      </c>
      <c r="X45" s="111">
        <f t="shared" si="12"/>
        <v>545.09000072805622</v>
      </c>
      <c r="Y45" s="111">
        <f t="shared" si="12"/>
        <v>590.31165027699399</v>
      </c>
      <c r="Z45" s="111">
        <f t="shared" si="12"/>
        <v>636.50694353353026</v>
      </c>
      <c r="AA45" s="111">
        <f t="shared" si="12"/>
        <v>683.68303188939467</v>
      </c>
      <c r="AB45" s="111">
        <f t="shared" si="12"/>
        <v>731.8471549872196</v>
      </c>
      <c r="AC45" s="111">
        <f t="shared" si="12"/>
        <v>781.00664139165315</v>
      </c>
      <c r="AD45" s="111">
        <f t="shared" si="12"/>
        <v>831.16890926632334</v>
      </c>
      <c r="AE45" s="111">
        <f t="shared" si="12"/>
        <v>882.34146705670048</v>
      </c>
      <c r="AF45" s="111">
        <f t="shared" si="12"/>
        <v>934.53191417890002</v>
      </c>
      <c r="AG45" s="111">
        <f t="shared" si="12"/>
        <v>987.74794171447695</v>
      </c>
      <c r="AH45" s="111">
        <f t="shared" si="12"/>
        <v>1041.2085762667762</v>
      </c>
      <c r="AI45" s="111">
        <f t="shared" si="12"/>
        <v>1094.9110181000387</v>
      </c>
      <c r="AJ45" s="111">
        <f t="shared" si="12"/>
        <v>1148.8524175600585</v>
      </c>
      <c r="AK45" s="111">
        <f t="shared" si="12"/>
        <v>1203.0298743090386</v>
      </c>
    </row>
    <row r="46" spans="1:37" ht="15" customHeight="1" x14ac:dyDescent="0.2">
      <c r="A46" t="s">
        <v>447</v>
      </c>
      <c r="B46" s="112">
        <v>3.5000000000000003E-2</v>
      </c>
      <c r="C46" s="112">
        <v>1.2500000000000001E-2</v>
      </c>
      <c r="D46" s="111">
        <f t="shared" ref="D46:AK46" si="13">D23+D29</f>
        <v>9.2515500000000017</v>
      </c>
      <c r="E46" s="111">
        <f t="shared" si="13"/>
        <v>20.241119232576004</v>
      </c>
      <c r="F46" s="111">
        <f t="shared" si="13"/>
        <v>33.01351420856858</v>
      </c>
      <c r="G46" s="111">
        <f t="shared" si="13"/>
        <v>47.614352104770987</v>
      </c>
      <c r="H46" s="111">
        <f t="shared" si="13"/>
        <v>64.090073485433038</v>
      </c>
      <c r="I46" s="111">
        <f t="shared" si="13"/>
        <v>82.487955205436251</v>
      </c>
      <c r="J46" s="111">
        <f t="shared" si="13"/>
        <v>101.78611224623694</v>
      </c>
      <c r="K46" s="111">
        <f t="shared" si="13"/>
        <v>122.00407641510519</v>
      </c>
      <c r="L46" s="111">
        <f t="shared" si="13"/>
        <v>143.16171092132205</v>
      </c>
      <c r="M46" s="111">
        <f t="shared" si="13"/>
        <v>165.27921539252051</v>
      </c>
      <c r="N46" s="111">
        <f t="shared" si="13"/>
        <v>195.00520843116772</v>
      </c>
      <c r="O46" s="111">
        <f t="shared" si="13"/>
        <v>226.00316573301001</v>
      </c>
      <c r="P46" s="111">
        <f t="shared" si="13"/>
        <v>258.29920951286221</v>
      </c>
      <c r="Q46" s="111">
        <f t="shared" si="13"/>
        <v>291.91989953576945</v>
      </c>
      <c r="R46" s="111">
        <f t="shared" si="13"/>
        <v>326.89223965796748</v>
      </c>
      <c r="S46" s="111">
        <f t="shared" si="13"/>
        <v>363.24368445896033</v>
      </c>
      <c r="T46" s="111">
        <f t="shared" si="13"/>
        <v>400.93275934093339</v>
      </c>
      <c r="U46" s="111">
        <f t="shared" si="13"/>
        <v>439.97532585217988</v>
      </c>
      <c r="V46" s="111">
        <f t="shared" si="13"/>
        <v>480.3874745312138</v>
      </c>
      <c r="W46" s="111">
        <f t="shared" si="13"/>
        <v>522.18552765207937</v>
      </c>
      <c r="X46" s="111">
        <f t="shared" si="13"/>
        <v>569.67406121304464</v>
      </c>
      <c r="Y46" s="111">
        <f t="shared" si="13"/>
        <v>618.54433720882014</v>
      </c>
      <c r="Z46" s="111">
        <f t="shared" si="13"/>
        <v>668.8172128468749</v>
      </c>
      <c r="AA46" s="111">
        <f t="shared" si="13"/>
        <v>720.51386885334841</v>
      </c>
      <c r="AB46" s="111">
        <f t="shared" si="13"/>
        <v>773.65581388352041</v>
      </c>
      <c r="AC46" s="111">
        <f t="shared" si="13"/>
        <v>828.26488899103379</v>
      </c>
      <c r="AD46" s="111">
        <f t="shared" si="13"/>
        <v>884.36327215662948</v>
      </c>
      <c r="AE46" s="111">
        <f t="shared" si="13"/>
        <v>941.97348287716602</v>
      </c>
      <c r="AF46" s="111">
        <f t="shared" si="13"/>
        <v>1001.1183868157007</v>
      </c>
      <c r="AG46" s="111">
        <f t="shared" si="13"/>
        <v>1061.8212005134278</v>
      </c>
      <c r="AH46" s="111">
        <f t="shared" si="13"/>
        <v>1123.3167393197918</v>
      </c>
      <c r="AI46" s="111">
        <f t="shared" si="13"/>
        <v>1185.6123439864057</v>
      </c>
      <c r="AJ46" s="111">
        <f t="shared" si="13"/>
        <v>1248.7154229354646</v>
      </c>
      <c r="AK46" s="111">
        <f t="shared" si="13"/>
        <v>1312.6334527398385</v>
      </c>
    </row>
    <row r="47" spans="1:37" ht="15" customHeight="1" x14ac:dyDescent="0.2">
      <c r="A47" t="s">
        <v>448</v>
      </c>
      <c r="B47" s="112">
        <v>3.5000000000000003E-2</v>
      </c>
      <c r="C47" s="112">
        <v>2.5000000000000001E-2</v>
      </c>
      <c r="D47" s="111">
        <f t="shared" ref="D47:AK47" si="14">D24+D29</f>
        <v>9.2515500000000017</v>
      </c>
      <c r="E47" s="111">
        <f t="shared" si="14"/>
        <v>20.318215482576004</v>
      </c>
      <c r="F47" s="111">
        <f t="shared" si="14"/>
        <v>33.261984820923381</v>
      </c>
      <c r="G47" s="111">
        <f t="shared" si="14"/>
        <v>48.146599041056675</v>
      </c>
      <c r="H47" s="111">
        <f t="shared" si="14"/>
        <v>65.037597539515346</v>
      </c>
      <c r="I47" s="111">
        <f t="shared" si="14"/>
        <v>84.002364961031304</v>
      </c>
      <c r="J47" s="111">
        <f t="shared" si="14"/>
        <v>104.04016801393132</v>
      </c>
      <c r="K47" s="111">
        <f t="shared" si="14"/>
        <v>125.18385342074728</v>
      </c>
      <c r="L47" s="111">
        <f t="shared" si="14"/>
        <v>147.46715876480886</v>
      </c>
      <c r="M47" s="111">
        <f t="shared" si="14"/>
        <v>170.92473540373189</v>
      </c>
      <c r="N47" s="111">
        <f t="shared" si="14"/>
        <v>202.22024943127883</v>
      </c>
      <c r="O47" s="111">
        <f t="shared" si="14"/>
        <v>235.11568969135325</v>
      </c>
      <c r="P47" s="111">
        <f t="shared" si="14"/>
        <v>269.65892932127093</v>
      </c>
      <c r="Q47" s="111">
        <f t="shared" si="14"/>
        <v>305.89913056920841</v>
      </c>
      <c r="R47" s="111">
        <f t="shared" si="14"/>
        <v>343.88677785202492</v>
      </c>
      <c r="S47" s="111">
        <f t="shared" si="14"/>
        <v>383.67371164689473</v>
      </c>
      <c r="T47" s="111">
        <f t="shared" si="14"/>
        <v>425.2823247376565</v>
      </c>
      <c r="U47" s="111">
        <f t="shared" si="14"/>
        <v>468.76132724736885</v>
      </c>
      <c r="V47" s="111">
        <f t="shared" si="14"/>
        <v>514.16070544625131</v>
      </c>
      <c r="W47" s="111">
        <f t="shared" si="14"/>
        <v>561.53175397342488</v>
      </c>
      <c r="X47" s="111">
        <f t="shared" si="14"/>
        <v>615.21512807681484</v>
      </c>
      <c r="Y47" s="111">
        <f t="shared" si="14"/>
        <v>671.10010765153879</v>
      </c>
      <c r="Z47" s="111">
        <f t="shared" si="14"/>
        <v>729.24757579542722</v>
      </c>
      <c r="AA47" s="111">
        <f t="shared" si="14"/>
        <v>789.72001804901845</v>
      </c>
      <c r="AB47" s="111">
        <f t="shared" si="14"/>
        <v>852.58156305496095</v>
      </c>
      <c r="AC47" s="111">
        <f t="shared" si="14"/>
        <v>917.8980242394241</v>
      </c>
      <c r="AD47" s="111">
        <f t="shared" si="14"/>
        <v>985.73694254111069</v>
      </c>
      <c r="AE47" s="111">
        <f t="shared" si="14"/>
        <v>1056.1676302141057</v>
      </c>
      <c r="AF47" s="111">
        <f t="shared" si="14"/>
        <v>1129.261215731452</v>
      </c>
      <c r="AG47" s="111">
        <f t="shared" si="14"/>
        <v>1205.0906898170167</v>
      </c>
      <c r="AH47" s="111">
        <f t="shared" si="14"/>
        <v>1282.9421957894201</v>
      </c>
      <c r="AI47" s="111">
        <f t="shared" si="14"/>
        <v>1362.8661402312516</v>
      </c>
      <c r="AJ47" s="111">
        <f t="shared" si="14"/>
        <v>1444.9141855191108</v>
      </c>
      <c r="AK47" s="111">
        <f t="shared" si="14"/>
        <v>1529.1392811022704</v>
      </c>
    </row>
    <row r="48" spans="1:37" ht="15" customHeight="1" x14ac:dyDescent="0.2">
      <c r="A48" t="s">
        <v>449</v>
      </c>
      <c r="B48" s="112">
        <v>3.5000000000000003E-2</v>
      </c>
      <c r="C48" s="112">
        <v>0.04</v>
      </c>
      <c r="D48" s="111">
        <f t="shared" ref="D48:AK48" si="15">D25+D29</f>
        <v>9.2515500000000017</v>
      </c>
      <c r="E48" s="111">
        <f t="shared" si="15"/>
        <v>20.410730982576005</v>
      </c>
      <c r="F48" s="111">
        <f t="shared" si="15"/>
        <v>33.562693731999147</v>
      </c>
      <c r="G48" s="111">
        <f t="shared" si="15"/>
        <v>48.796140838107235</v>
      </c>
      <c r="H48" s="111">
        <f t="shared" si="15"/>
        <v>66.203469845759585</v>
      </c>
      <c r="I48" s="111">
        <f t="shared" si="15"/>
        <v>85.880922140529364</v>
      </c>
      <c r="J48" s="111">
        <f t="shared" si="15"/>
        <v>106.85872654879461</v>
      </c>
      <c r="K48" s="111">
        <f t="shared" si="15"/>
        <v>129.19220894602694</v>
      </c>
      <c r="L48" s="111">
        <f t="shared" si="15"/>
        <v>152.93895686142878</v>
      </c>
      <c r="M48" s="111">
        <f t="shared" si="15"/>
        <v>178.15891030783376</v>
      </c>
      <c r="N48" s="111">
        <f t="shared" si="15"/>
        <v>211.54253371805635</v>
      </c>
      <c r="O48" s="111">
        <f t="shared" si="15"/>
        <v>246.97961928447879</v>
      </c>
      <c r="P48" s="111">
        <f t="shared" si="15"/>
        <v>284.55736325882492</v>
      </c>
      <c r="Q48" s="111">
        <f t="shared" si="15"/>
        <v>324.36651953717478</v>
      </c>
      <c r="R48" s="111">
        <f t="shared" si="15"/>
        <v>366.50154250595062</v>
      </c>
      <c r="S48" s="111">
        <f t="shared" si="15"/>
        <v>411.06073560671894</v>
      </c>
      <c r="T48" s="111">
        <f t="shared" si="15"/>
        <v>458.16182509860118</v>
      </c>
      <c r="U48" s="111">
        <f t="shared" si="15"/>
        <v>507.91448733995958</v>
      </c>
      <c r="V48" s="111">
        <f t="shared" si="15"/>
        <v>560.43287734543628</v>
      </c>
      <c r="W48" s="111">
        <f t="shared" si="15"/>
        <v>615.83580877242116</v>
      </c>
      <c r="X48" s="111">
        <f t="shared" si="15"/>
        <v>678.53496032386056</v>
      </c>
      <c r="Y48" s="111">
        <f t="shared" si="15"/>
        <v>744.68726148024825</v>
      </c>
      <c r="Z48" s="111">
        <f t="shared" si="15"/>
        <v>814.43939022764471</v>
      </c>
      <c r="AA48" s="111">
        <f t="shared" si="15"/>
        <v>887.9439931108376</v>
      </c>
      <c r="AB48" s="111">
        <f t="shared" si="15"/>
        <v>965.35992485224256</v>
      </c>
      <c r="AC48" s="111">
        <f t="shared" si="15"/>
        <v>1046.8524975633654</v>
      </c>
      <c r="AD48" s="111">
        <f t="shared" si="15"/>
        <v>1132.5937399325928</v>
      </c>
      <c r="AE48" s="111">
        <f t="shared" si="15"/>
        <v>1222.7626667884299</v>
      </c>
      <c r="AF48" s="111">
        <f t="shared" si="15"/>
        <v>1317.5455594532693</v>
      </c>
      <c r="AG48" s="111">
        <f t="shared" si="15"/>
        <v>1417.1362573193753</v>
      </c>
      <c r="AH48" s="111">
        <f t="shared" si="15"/>
        <v>1520.9477042515668</v>
      </c>
      <c r="AI48" s="111">
        <f t="shared" si="15"/>
        <v>1629.151494915101</v>
      </c>
      <c r="AJ48" s="111">
        <f t="shared" si="15"/>
        <v>1741.926107053202</v>
      </c>
      <c r="AK48" s="111">
        <f t="shared" si="15"/>
        <v>1859.4571769935137</v>
      </c>
    </row>
    <row r="52" spans="1:37" ht="15" customHeight="1" x14ac:dyDescent="0.2">
      <c r="A52" s="113" t="s">
        <v>455</v>
      </c>
      <c r="B52" t="s">
        <v>394</v>
      </c>
      <c r="C52" t="s">
        <v>395</v>
      </c>
      <c r="D52" t="s">
        <v>396</v>
      </c>
      <c r="E52" t="s">
        <v>397</v>
      </c>
      <c r="F52" t="s">
        <v>398</v>
      </c>
      <c r="G52" t="s">
        <v>399</v>
      </c>
      <c r="H52" t="s">
        <v>400</v>
      </c>
      <c r="I52" t="s">
        <v>401</v>
      </c>
      <c r="J52" t="s">
        <v>402</v>
      </c>
      <c r="K52" t="s">
        <v>403</v>
      </c>
      <c r="L52" t="s">
        <v>404</v>
      </c>
      <c r="M52" t="s">
        <v>405</v>
      </c>
      <c r="N52" t="s">
        <v>406</v>
      </c>
      <c r="O52" t="s">
        <v>407</v>
      </c>
      <c r="P52" t="s">
        <v>408</v>
      </c>
      <c r="Q52" t="s">
        <v>409</v>
      </c>
      <c r="R52" t="s">
        <v>410</v>
      </c>
      <c r="S52" t="s">
        <v>411</v>
      </c>
      <c r="T52" t="s">
        <v>412</v>
      </c>
      <c r="U52" t="s">
        <v>413</v>
      </c>
      <c r="V52" t="s">
        <v>414</v>
      </c>
      <c r="W52" t="s">
        <v>415</v>
      </c>
      <c r="X52" t="s">
        <v>416</v>
      </c>
      <c r="Y52" t="s">
        <v>417</v>
      </c>
      <c r="Z52" t="s">
        <v>418</v>
      </c>
      <c r="AA52" t="s">
        <v>419</v>
      </c>
      <c r="AB52" t="s">
        <v>420</v>
      </c>
      <c r="AC52" t="s">
        <v>421</v>
      </c>
      <c r="AD52" t="s">
        <v>422</v>
      </c>
      <c r="AE52" t="s">
        <v>423</v>
      </c>
      <c r="AF52" t="s">
        <v>424</v>
      </c>
      <c r="AG52" t="s">
        <v>425</v>
      </c>
      <c r="AH52" t="s">
        <v>426</v>
      </c>
      <c r="AI52" t="s">
        <v>427</v>
      </c>
      <c r="AJ52" t="s">
        <v>428</v>
      </c>
      <c r="AK52" t="s">
        <v>429</v>
      </c>
    </row>
    <row r="53" spans="1:37" ht="15" customHeight="1" x14ac:dyDescent="0.2">
      <c r="A53" t="s">
        <v>456</v>
      </c>
      <c r="B53" t="s">
        <v>453</v>
      </c>
      <c r="C53" t="s">
        <v>453</v>
      </c>
      <c r="D53" s="111">
        <f t="shared" ref="D53:AK53" si="16">D29</f>
        <v>3.0838500000000004</v>
      </c>
      <c r="E53" s="111">
        <f t="shared" si="16"/>
        <v>6.6853627441920018</v>
      </c>
      <c r="F53" s="111">
        <f t="shared" si="16"/>
        <v>10.808349518805688</v>
      </c>
      <c r="G53" s="111">
        <f t="shared" si="16"/>
        <v>15.456676553613075</v>
      </c>
      <c r="H53" s="111">
        <f t="shared" si="16"/>
        <v>20.634265472578448</v>
      </c>
      <c r="I53" s="111">
        <f t="shared" si="16"/>
        <v>26.345093748679211</v>
      </c>
      <c r="J53" s="111">
        <f t="shared" si="16"/>
        <v>32.236524745808367</v>
      </c>
      <c r="K53" s="111">
        <f t="shared" si="16"/>
        <v>38.309963398811576</v>
      </c>
      <c r="L53" s="111">
        <f t="shared" si="16"/>
        <v>44.566833190329838</v>
      </c>
      <c r="M53" s="111">
        <f t="shared" si="16"/>
        <v>51.008576302963007</v>
      </c>
      <c r="N53" s="111">
        <f t="shared" si="16"/>
        <v>57.636653772819017</v>
      </c>
      <c r="O53" s="111">
        <f t="shared" si="16"/>
        <v>64.452545644460088</v>
      </c>
      <c r="P53" s="111">
        <f t="shared" si="16"/>
        <v>71.457751127257396</v>
      </c>
      <c r="Q53" s="111">
        <f t="shared" si="16"/>
        <v>78.653788753165685</v>
      </c>
      <c r="R53" s="111">
        <f t="shared" si="16"/>
        <v>86.042196535929349</v>
      </c>
      <c r="S53" s="111">
        <f t="shared" si="16"/>
        <v>90.540682131731828</v>
      </c>
      <c r="T53" s="111">
        <f t="shared" si="16"/>
        <v>94.717010257107859</v>
      </c>
      <c r="U53" s="111">
        <f t="shared" si="16"/>
        <v>98.56896705466913</v>
      </c>
      <c r="V53" s="111">
        <f t="shared" si="16"/>
        <v>102.09430385664965</v>
      </c>
      <c r="W53" s="111">
        <f t="shared" si="16"/>
        <v>105.29073690079696</v>
      </c>
      <c r="X53" s="111">
        <f t="shared" si="16"/>
        <v>99.579908624696202</v>
      </c>
      <c r="Y53" s="111">
        <f t="shared" si="16"/>
        <v>93.688477627567039</v>
      </c>
      <c r="Z53" s="111">
        <f t="shared" si="16"/>
        <v>87.615038974563831</v>
      </c>
      <c r="AA53" s="111">
        <f t="shared" si="16"/>
        <v>81.358169183045561</v>
      </c>
      <c r="AB53" s="111">
        <f t="shared" si="16"/>
        <v>74.916426070412399</v>
      </c>
      <c r="AC53" s="111">
        <f t="shared" si="16"/>
        <v>68.28834860055639</v>
      </c>
      <c r="AD53" s="111">
        <f t="shared" si="16"/>
        <v>61.472456728915319</v>
      </c>
      <c r="AE53" s="111">
        <f t="shared" si="16"/>
        <v>54.46725124611801</v>
      </c>
      <c r="AF53" s="111">
        <f t="shared" si="16"/>
        <v>47.271213620209721</v>
      </c>
      <c r="AG53" s="111">
        <f t="shared" si="16"/>
        <v>39.882805837446057</v>
      </c>
      <c r="AH53" s="111">
        <f t="shared" si="16"/>
        <v>32.30047024164358</v>
      </c>
      <c r="AI53" s="111">
        <f t="shared" si="16"/>
        <v>24.522629372075542</v>
      </c>
      <c r="AJ53" s="111">
        <f t="shared" si="16"/>
        <v>16.547685799900592</v>
      </c>
      <c r="AK53" s="111">
        <f t="shared" si="16"/>
        <v>8.374021963112682</v>
      </c>
    </row>
    <row r="56" spans="1:37" ht="15" customHeight="1" x14ac:dyDescent="0.2">
      <c r="A56" s="113" t="s">
        <v>457</v>
      </c>
      <c r="B56" t="s">
        <v>394</v>
      </c>
      <c r="C56" t="s">
        <v>395</v>
      </c>
      <c r="D56" t="s">
        <v>396</v>
      </c>
      <c r="E56" t="s">
        <v>397</v>
      </c>
      <c r="F56" t="s">
        <v>398</v>
      </c>
      <c r="G56" t="s">
        <v>399</v>
      </c>
      <c r="H56" t="s">
        <v>400</v>
      </c>
      <c r="I56" t="s">
        <v>401</v>
      </c>
      <c r="J56" t="s">
        <v>402</v>
      </c>
      <c r="K56" t="s">
        <v>403</v>
      </c>
      <c r="L56" t="s">
        <v>404</v>
      </c>
      <c r="M56" t="s">
        <v>405</v>
      </c>
      <c r="N56" t="s">
        <v>406</v>
      </c>
      <c r="O56" t="s">
        <v>407</v>
      </c>
      <c r="P56" t="s">
        <v>408</v>
      </c>
      <c r="Q56" t="s">
        <v>409</v>
      </c>
      <c r="R56" t="s">
        <v>410</v>
      </c>
      <c r="S56" t="s">
        <v>411</v>
      </c>
      <c r="T56" t="s">
        <v>412</v>
      </c>
      <c r="U56" t="s">
        <v>413</v>
      </c>
      <c r="V56" t="s">
        <v>414</v>
      </c>
      <c r="W56" t="s">
        <v>415</v>
      </c>
      <c r="X56" t="s">
        <v>416</v>
      </c>
      <c r="Y56" t="s">
        <v>417</v>
      </c>
      <c r="Z56" t="s">
        <v>418</v>
      </c>
      <c r="AA56" t="s">
        <v>419</v>
      </c>
      <c r="AB56" t="s">
        <v>420</v>
      </c>
      <c r="AC56" t="s">
        <v>421</v>
      </c>
      <c r="AD56" t="s">
        <v>422</v>
      </c>
      <c r="AE56" t="s">
        <v>423</v>
      </c>
      <c r="AF56" t="s">
        <v>424</v>
      </c>
      <c r="AG56" t="s">
        <v>425</v>
      </c>
      <c r="AH56" t="s">
        <v>426</v>
      </c>
      <c r="AI56" t="s">
        <v>427</v>
      </c>
      <c r="AJ56" t="s">
        <v>428</v>
      </c>
      <c r="AK56" t="s">
        <v>429</v>
      </c>
    </row>
    <row r="57" spans="1:37" ht="15" customHeight="1" x14ac:dyDescent="0.2">
      <c r="A57" t="s">
        <v>458</v>
      </c>
      <c r="B57" s="112">
        <v>7.4999999999999997E-3</v>
      </c>
      <c r="C57" t="s">
        <v>453</v>
      </c>
      <c r="D57" s="111">
        <v>0</v>
      </c>
      <c r="E57" s="111">
        <f>Modello!AH5*$B57</f>
        <v>2.3128875000000004E-2</v>
      </c>
      <c r="F57" s="111">
        <f>Modello!AH6*$B57</f>
        <v>5.0140220581440013E-2</v>
      </c>
      <c r="G57" s="111">
        <f>Modello!AH7*$B57</f>
        <v>8.1062621391042658E-2</v>
      </c>
      <c r="H57" s="111">
        <f>Modello!AH8*$B57</f>
        <v>0.11592507415209806</v>
      </c>
      <c r="I57" s="111">
        <f>Modello!AH9*$B57</f>
        <v>0.15475699104433835</v>
      </c>
      <c r="J57" s="111">
        <f>Modello!AH10*$B57</f>
        <v>0.19758820311509409</v>
      </c>
      <c r="K57" s="111">
        <f>Modello!AH11*$B57</f>
        <v>0.24177393559356275</v>
      </c>
      <c r="L57" s="111">
        <f>Modello!AH12*$B57</f>
        <v>0.28732472549108679</v>
      </c>
      <c r="M57" s="111">
        <f>Modello!AH13*$B57</f>
        <v>0.33425124892747377</v>
      </c>
      <c r="N57" s="111">
        <f>Modello!AH14*$B57</f>
        <v>0.38256432227222253</v>
      </c>
      <c r="O57" s="111">
        <f>Modello!AH15*$B57</f>
        <v>0.4322749032961426</v>
      </c>
      <c r="P57" s="111">
        <f>Modello!AH16*$B57</f>
        <v>0.48339409233345065</v>
      </c>
      <c r="Q57" s="111">
        <f>Modello!AH17*$B57</f>
        <v>0.5359331334544305</v>
      </c>
      <c r="R57" s="111">
        <f>Modello!AH18*$B57</f>
        <v>0.5899034156487426</v>
      </c>
      <c r="S57" s="111">
        <f>Modello!AH19*$B57</f>
        <v>0.64531647401947012</v>
      </c>
      <c r="T57" s="111">
        <f>Modello!AH20*$B57</f>
        <v>0.67905511598798873</v>
      </c>
      <c r="U57" s="111">
        <f>Modello!AH21*$B57</f>
        <v>0.71037757692830894</v>
      </c>
      <c r="V57" s="111">
        <f>Modello!AH22*$B57</f>
        <v>0.73926725291001849</v>
      </c>
      <c r="W57" s="111">
        <f>Modello!AH23*$B57</f>
        <v>0.76570727892487234</v>
      </c>
      <c r="X57" s="111">
        <f>Modello!AH24*$B57</f>
        <v>0.78968052675597711</v>
      </c>
      <c r="Y57" s="111">
        <f>Modello!AH25*$B57</f>
        <v>0.74684931468522153</v>
      </c>
      <c r="Z57" s="111">
        <f>Modello!AH26*$B57</f>
        <v>0.70266358220675273</v>
      </c>
      <c r="AA57" s="111">
        <f>Modello!AH27*$B57</f>
        <v>0.6571127923092287</v>
      </c>
      <c r="AB57" s="111">
        <f>Modello!AH28*$B57</f>
        <v>0.61018626887284166</v>
      </c>
      <c r="AC57" s="111">
        <f>Modello!AH29*$B57</f>
        <v>0.56187319552809301</v>
      </c>
      <c r="AD57" s="111">
        <f>Modello!AH30*$B57</f>
        <v>0.51216261450417289</v>
      </c>
      <c r="AE57" s="111">
        <f>Modello!AH31*$B57</f>
        <v>0.46104342546686489</v>
      </c>
      <c r="AF57" s="111">
        <f>Modello!AH32*$B57</f>
        <v>0.40850438434588504</v>
      </c>
      <c r="AG57" s="111">
        <f>Modello!AH33*$B57</f>
        <v>0.35453410215157288</v>
      </c>
      <c r="AH57" s="111">
        <f>Modello!AH34*$B57</f>
        <v>0.29912104378084542</v>
      </c>
      <c r="AI57" s="111">
        <f>Modello!AH35*$B57</f>
        <v>0.24225352681232684</v>
      </c>
      <c r="AJ57" s="111">
        <f>Modello!AH36*$B57</f>
        <v>0.18391972029056655</v>
      </c>
      <c r="AK57" s="111">
        <f>Modello!AH37*$B57</f>
        <v>0.12410764349925443</v>
      </c>
    </row>
    <row r="58" spans="1:37" ht="15" customHeight="1" x14ac:dyDescent="0.2">
      <c r="A58" t="s">
        <v>459</v>
      </c>
      <c r="B58" s="112">
        <v>1.4999999999999999E-2</v>
      </c>
      <c r="C58" t="s">
        <v>453</v>
      </c>
      <c r="D58" s="111">
        <v>0</v>
      </c>
      <c r="E58" s="111">
        <f>Modello!AH5*$B58</f>
        <v>4.6257750000000007E-2</v>
      </c>
      <c r="F58" s="111">
        <f>Modello!AH6*$B58</f>
        <v>0.10028044116288003</v>
      </c>
      <c r="G58" s="111">
        <f>Modello!AH7*$B58</f>
        <v>0.16212524278208532</v>
      </c>
      <c r="H58" s="111">
        <f>Modello!AH8*$B58</f>
        <v>0.23185014830419612</v>
      </c>
      <c r="I58" s="111">
        <f>Modello!AH9*$B58</f>
        <v>0.3095139820886767</v>
      </c>
      <c r="J58" s="111">
        <f>Modello!AH10*$B58</f>
        <v>0.39517640623018818</v>
      </c>
      <c r="K58" s="111">
        <f>Modello!AH11*$B58</f>
        <v>0.4835478711871255</v>
      </c>
      <c r="L58" s="111">
        <f>Modello!AH12*$B58</f>
        <v>0.57464945098217357</v>
      </c>
      <c r="M58" s="111">
        <f>Modello!AH13*$B58</f>
        <v>0.66850249785494753</v>
      </c>
      <c r="N58" s="111">
        <f>Modello!AH14*$B58</f>
        <v>0.76512864454444507</v>
      </c>
      <c r="O58" s="111">
        <f>Modello!AH15*$B58</f>
        <v>0.8645498065922852</v>
      </c>
      <c r="P58" s="111">
        <f>Modello!AH16*$B58</f>
        <v>0.96678818466690131</v>
      </c>
      <c r="Q58" s="111">
        <f>Modello!AH17*$B58</f>
        <v>1.071866266908861</v>
      </c>
      <c r="R58" s="111">
        <f>Modello!AH18*$B58</f>
        <v>1.1798068312974852</v>
      </c>
      <c r="S58" s="111">
        <f>Modello!AH19*$B58</f>
        <v>1.2906329480389402</v>
      </c>
      <c r="T58" s="111">
        <f>Modello!AH20*$B58</f>
        <v>1.3581102319759775</v>
      </c>
      <c r="U58" s="111">
        <f>Modello!AH21*$B58</f>
        <v>1.4207551538566179</v>
      </c>
      <c r="V58" s="111">
        <f>Modello!AH22*$B58</f>
        <v>1.478534505820037</v>
      </c>
      <c r="W58" s="111">
        <f>Modello!AH23*$B58</f>
        <v>1.5314145578497447</v>
      </c>
      <c r="X58" s="111">
        <f>Modello!AH24*$B58</f>
        <v>1.5793610535119542</v>
      </c>
      <c r="Y58" s="111">
        <f>Modello!AH25*$B58</f>
        <v>1.4936986293704431</v>
      </c>
      <c r="Z58" s="111">
        <f>Modello!AH26*$B58</f>
        <v>1.4053271644135055</v>
      </c>
      <c r="AA58" s="111">
        <f>Modello!AH27*$B58</f>
        <v>1.3142255846184574</v>
      </c>
      <c r="AB58" s="111">
        <f>Modello!AH28*$B58</f>
        <v>1.2203725377456833</v>
      </c>
      <c r="AC58" s="111">
        <f>Modello!AH29*$B58</f>
        <v>1.123746391056186</v>
      </c>
      <c r="AD58" s="111">
        <f>Modello!AH30*$B58</f>
        <v>1.0243252290083458</v>
      </c>
      <c r="AE58" s="111">
        <f>Modello!AH31*$B58</f>
        <v>0.92208685093372977</v>
      </c>
      <c r="AF58" s="111">
        <f>Modello!AH32*$B58</f>
        <v>0.81700876869177008</v>
      </c>
      <c r="AG58" s="111">
        <f>Modello!AH33*$B58</f>
        <v>0.70906820430314577</v>
      </c>
      <c r="AH58" s="111">
        <f>Modello!AH34*$B58</f>
        <v>0.59824208756169084</v>
      </c>
      <c r="AI58" s="111">
        <f>Modello!AH35*$B58</f>
        <v>0.48450705362465368</v>
      </c>
      <c r="AJ58" s="111">
        <f>Modello!AH36*$B58</f>
        <v>0.3678394405811331</v>
      </c>
      <c r="AK58" s="111">
        <f>Modello!AH37*$B58</f>
        <v>0.24821528699850887</v>
      </c>
    </row>
    <row r="59" spans="1:37" ht="15" customHeight="1" x14ac:dyDescent="0.2">
      <c r="A59" t="s">
        <v>460</v>
      </c>
      <c r="B59" s="112">
        <v>2.5000000000000001E-2</v>
      </c>
      <c r="C59" t="s">
        <v>453</v>
      </c>
      <c r="D59" s="111">
        <v>0</v>
      </c>
      <c r="E59" s="111">
        <f>Modello!AH5*$B59</f>
        <v>7.7096250000000019E-2</v>
      </c>
      <c r="F59" s="111">
        <f>Modello!AH6*$B59</f>
        <v>0.16713406860480007</v>
      </c>
      <c r="G59" s="111">
        <f>Modello!AH7*$B59</f>
        <v>0.27020873797014222</v>
      </c>
      <c r="H59" s="111">
        <f>Modello!AH8*$B59</f>
        <v>0.38641691384032689</v>
      </c>
      <c r="I59" s="111">
        <f>Modello!AH9*$B59</f>
        <v>0.51585663681446126</v>
      </c>
      <c r="J59" s="111">
        <f>Modello!AH10*$B59</f>
        <v>0.65862734371698028</v>
      </c>
      <c r="K59" s="111">
        <f>Modello!AH11*$B59</f>
        <v>0.8059131186452092</v>
      </c>
      <c r="L59" s="111">
        <f>Modello!AH12*$B59</f>
        <v>0.95774908497028943</v>
      </c>
      <c r="M59" s="111">
        <f>Modello!AH13*$B59</f>
        <v>1.114170829758246</v>
      </c>
      <c r="N59" s="111">
        <f>Modello!AH14*$B59</f>
        <v>1.2752144075740752</v>
      </c>
      <c r="O59" s="111">
        <f>Modello!AH15*$B59</f>
        <v>1.4409163443204756</v>
      </c>
      <c r="P59" s="111">
        <f>Modello!AH16*$B59</f>
        <v>1.6113136411115023</v>
      </c>
      <c r="Q59" s="111">
        <f>Modello!AH17*$B59</f>
        <v>1.7864437781814351</v>
      </c>
      <c r="R59" s="111">
        <f>Modello!AH18*$B59</f>
        <v>1.9663447188291423</v>
      </c>
      <c r="S59" s="111">
        <f>Modello!AH19*$B59</f>
        <v>2.1510549133982337</v>
      </c>
      <c r="T59" s="111">
        <f>Modello!AH20*$B59</f>
        <v>2.2635170532932958</v>
      </c>
      <c r="U59" s="111">
        <f>Modello!AH21*$B59</f>
        <v>2.3679252564276965</v>
      </c>
      <c r="V59" s="111">
        <f>Modello!AH22*$B59</f>
        <v>2.4642241763667285</v>
      </c>
      <c r="W59" s="111">
        <f>Modello!AH23*$B59</f>
        <v>2.5523575964162415</v>
      </c>
      <c r="X59" s="111">
        <f>Modello!AH24*$B59</f>
        <v>2.6322684225199242</v>
      </c>
      <c r="Y59" s="111">
        <f>Modello!AH25*$B59</f>
        <v>2.4894977156174054</v>
      </c>
      <c r="Z59" s="111">
        <f>Modello!AH26*$B59</f>
        <v>2.3422119406891762</v>
      </c>
      <c r="AA59" s="111">
        <f>Modello!AH27*$B59</f>
        <v>2.190375974364096</v>
      </c>
      <c r="AB59" s="111">
        <f>Modello!AH28*$B59</f>
        <v>2.033954229576139</v>
      </c>
      <c r="AC59" s="111">
        <f>Modello!AH29*$B59</f>
        <v>1.87291065176031</v>
      </c>
      <c r="AD59" s="111">
        <f>Modello!AH30*$B59</f>
        <v>1.7072087150139099</v>
      </c>
      <c r="AE59" s="111">
        <f>Modello!AH31*$B59</f>
        <v>1.5368114182228831</v>
      </c>
      <c r="AF59" s="111">
        <f>Modello!AH32*$B59</f>
        <v>1.3616812811529504</v>
      </c>
      <c r="AG59" s="111">
        <f>Modello!AH33*$B59</f>
        <v>1.1817803405052432</v>
      </c>
      <c r="AH59" s="111">
        <f>Modello!AH34*$B59</f>
        <v>0.99707014593615151</v>
      </c>
      <c r="AI59" s="111">
        <f>Modello!AH35*$B59</f>
        <v>0.8075117560410896</v>
      </c>
      <c r="AJ59" s="111">
        <f>Modello!AH36*$B59</f>
        <v>0.6130657343018886</v>
      </c>
      <c r="AK59" s="111">
        <f>Modello!AH37*$B59</f>
        <v>0.41369214499751483</v>
      </c>
    </row>
    <row r="60" spans="1:37" ht="15" customHeight="1" x14ac:dyDescent="0.2">
      <c r="A60" t="s">
        <v>461</v>
      </c>
      <c r="B60" s="112">
        <v>3.5000000000000003E-2</v>
      </c>
      <c r="C60" t="s">
        <v>453</v>
      </c>
      <c r="D60" s="111">
        <v>0</v>
      </c>
      <c r="E60" s="111">
        <f>Modello!AH5*$B60</f>
        <v>0.10793475000000002</v>
      </c>
      <c r="F60" s="111">
        <f>Modello!AH6*$B60</f>
        <v>0.2339876960467201</v>
      </c>
      <c r="G60" s="111">
        <f>Modello!AH7*$B60</f>
        <v>0.3782922331581991</v>
      </c>
      <c r="H60" s="111">
        <f>Modello!AH8*$B60</f>
        <v>0.54098367937645764</v>
      </c>
      <c r="I60" s="111">
        <f>Modello!AH9*$B60</f>
        <v>0.72219929154024576</v>
      </c>
      <c r="J60" s="111">
        <f>Modello!AH10*$B60</f>
        <v>0.92207828120377244</v>
      </c>
      <c r="K60" s="111">
        <f>Modello!AH11*$B60</f>
        <v>1.1282783661032929</v>
      </c>
      <c r="L60" s="111">
        <f>Modello!AH12*$B60</f>
        <v>1.3408487189584053</v>
      </c>
      <c r="M60" s="111">
        <f>Modello!AH13*$B60</f>
        <v>1.5598391616615446</v>
      </c>
      <c r="N60" s="111">
        <f>Modello!AH14*$B60</f>
        <v>1.7853001706037055</v>
      </c>
      <c r="O60" s="111">
        <f>Modello!AH15*$B60</f>
        <v>2.0172828820486659</v>
      </c>
      <c r="P60" s="111">
        <f>Modello!AH16*$B60</f>
        <v>2.2558390975561031</v>
      </c>
      <c r="Q60" s="111">
        <f>Modello!AH17*$B60</f>
        <v>2.5010212894540089</v>
      </c>
      <c r="R60" s="111">
        <f>Modello!AH18*$B60</f>
        <v>2.7528826063607994</v>
      </c>
      <c r="S60" s="111">
        <f>Modello!AH19*$B60</f>
        <v>3.0114768787575277</v>
      </c>
      <c r="T60" s="111">
        <f>Modello!AH20*$B60</f>
        <v>3.1689238746106141</v>
      </c>
      <c r="U60" s="111">
        <f>Modello!AH21*$B60</f>
        <v>3.3150953589987755</v>
      </c>
      <c r="V60" s="111">
        <f>Modello!AH22*$B60</f>
        <v>3.4499138469134198</v>
      </c>
      <c r="W60" s="111">
        <f>Modello!AH23*$B60</f>
        <v>3.5733006349827381</v>
      </c>
      <c r="X60" s="111">
        <f>Modello!AH24*$B60</f>
        <v>3.685175791527894</v>
      </c>
      <c r="Y60" s="111">
        <f>Modello!AH25*$B60</f>
        <v>3.4852968018643673</v>
      </c>
      <c r="Z60" s="111">
        <f>Modello!AH26*$B60</f>
        <v>3.2790967169648466</v>
      </c>
      <c r="AA60" s="111">
        <f>Modello!AH27*$B60</f>
        <v>3.0665263641097344</v>
      </c>
      <c r="AB60" s="111">
        <f>Modello!AH28*$B60</f>
        <v>2.8475359214065947</v>
      </c>
      <c r="AC60" s="111">
        <f>Modello!AH29*$B60</f>
        <v>2.6220749124644342</v>
      </c>
      <c r="AD60" s="111">
        <f>Modello!AH30*$B60</f>
        <v>2.3900922010194741</v>
      </c>
      <c r="AE60" s="111">
        <f>Modello!AH31*$B60</f>
        <v>2.1515359855120364</v>
      </c>
      <c r="AF60" s="111">
        <f>Modello!AH32*$B60</f>
        <v>1.9063537936141306</v>
      </c>
      <c r="AG60" s="111">
        <f>Modello!AH33*$B60</f>
        <v>1.6544924767073403</v>
      </c>
      <c r="AH60" s="111">
        <f>Modello!AH34*$B60</f>
        <v>1.3958982043106121</v>
      </c>
      <c r="AI60" s="111">
        <f>Modello!AH35*$B60</f>
        <v>1.1305164584575254</v>
      </c>
      <c r="AJ60" s="111">
        <f>Modello!AH36*$B60</f>
        <v>0.85829202802264404</v>
      </c>
      <c r="AK60" s="111">
        <f>Modello!AH37*$B60</f>
        <v>0.57916900299652074</v>
      </c>
    </row>
    <row r="63" spans="1:37" ht="15" customHeight="1" x14ac:dyDescent="0.2">
      <c r="A63" s="113" t="s">
        <v>462</v>
      </c>
      <c r="B63" t="s">
        <v>394</v>
      </c>
      <c r="C63" t="s">
        <v>395</v>
      </c>
      <c r="D63" t="s">
        <v>396</v>
      </c>
      <c r="E63" t="s">
        <v>397</v>
      </c>
      <c r="F63" t="s">
        <v>398</v>
      </c>
      <c r="G63" t="s">
        <v>399</v>
      </c>
      <c r="H63" t="s">
        <v>400</v>
      </c>
      <c r="I63" t="s">
        <v>401</v>
      </c>
      <c r="J63" t="s">
        <v>402</v>
      </c>
      <c r="K63" t="s">
        <v>403</v>
      </c>
      <c r="L63" t="s">
        <v>404</v>
      </c>
      <c r="M63" t="s">
        <v>405</v>
      </c>
      <c r="N63" t="s">
        <v>406</v>
      </c>
      <c r="O63" t="s">
        <v>407</v>
      </c>
      <c r="P63" t="s">
        <v>408</v>
      </c>
      <c r="Q63" t="s">
        <v>409</v>
      </c>
      <c r="R63" t="s">
        <v>410</v>
      </c>
      <c r="S63" t="s">
        <v>411</v>
      </c>
      <c r="T63" t="s">
        <v>412</v>
      </c>
      <c r="U63" t="s">
        <v>413</v>
      </c>
      <c r="V63" t="s">
        <v>414</v>
      </c>
      <c r="W63" t="s">
        <v>415</v>
      </c>
      <c r="X63" t="s">
        <v>416</v>
      </c>
      <c r="Y63" t="s">
        <v>417</v>
      </c>
      <c r="Z63" t="s">
        <v>418</v>
      </c>
      <c r="AA63" t="s">
        <v>419</v>
      </c>
      <c r="AB63" t="s">
        <v>420</v>
      </c>
      <c r="AC63" t="s">
        <v>421</v>
      </c>
      <c r="AD63" t="s">
        <v>422</v>
      </c>
      <c r="AE63" t="s">
        <v>423</v>
      </c>
      <c r="AF63" t="s">
        <v>424</v>
      </c>
      <c r="AG63" t="s">
        <v>425</v>
      </c>
      <c r="AH63" t="s">
        <v>426</v>
      </c>
      <c r="AI63" t="s">
        <v>427</v>
      </c>
      <c r="AJ63" t="s">
        <v>428</v>
      </c>
      <c r="AK63" t="s">
        <v>429</v>
      </c>
    </row>
    <row r="64" spans="1:37" ht="15" customHeight="1" x14ac:dyDescent="0.2">
      <c r="A64" t="s">
        <v>463</v>
      </c>
      <c r="B64" t="s">
        <v>453</v>
      </c>
      <c r="C64" t="s">
        <v>453</v>
      </c>
      <c r="D64" s="111">
        <f>-Modello!AI5</f>
        <v>0</v>
      </c>
      <c r="E64" s="111">
        <f>-Modello!AI6</f>
        <v>0</v>
      </c>
      <c r="F64" s="111">
        <f>-Modello!AI7</f>
        <v>0</v>
      </c>
      <c r="G64" s="111">
        <f>-Modello!AI8</f>
        <v>0</v>
      </c>
      <c r="H64" s="111">
        <f>-Modello!AI9</f>
        <v>0</v>
      </c>
      <c r="I64" s="111">
        <f>-Modello!AI10</f>
        <v>0</v>
      </c>
      <c r="J64" s="111">
        <f>-Modello!AI11</f>
        <v>0</v>
      </c>
      <c r="K64" s="111">
        <f>-Modello!AI12</f>
        <v>0</v>
      </c>
      <c r="L64" s="111">
        <f>-Modello!AI13</f>
        <v>0</v>
      </c>
      <c r="M64" s="111">
        <f>-Modello!AI14</f>
        <v>0</v>
      </c>
      <c r="N64" s="111">
        <f>-Modello!AI15</f>
        <v>0</v>
      </c>
      <c r="O64" s="111">
        <f>-Modello!AI16</f>
        <v>0</v>
      </c>
      <c r="P64" s="111">
        <f>-Modello!AI17</f>
        <v>0</v>
      </c>
      <c r="Q64" s="111">
        <f>-Modello!AI18</f>
        <v>0</v>
      </c>
      <c r="R64" s="111">
        <f>-Modello!AI19</f>
        <v>0</v>
      </c>
      <c r="S64" s="111">
        <f>-Modello!AI20</f>
        <v>3.0838500000000004</v>
      </c>
      <c r="T64" s="111">
        <f>-Modello!AI21</f>
        <v>3.601512744192001</v>
      </c>
      <c r="U64" s="111">
        <f>-Modello!AI22</f>
        <v>4.122986774613687</v>
      </c>
      <c r="V64" s="111">
        <f>-Modello!AI23</f>
        <v>4.6483270348073873</v>
      </c>
      <c r="W64" s="111">
        <f>-Modello!AI24</f>
        <v>5.1775889189653741</v>
      </c>
      <c r="X64" s="111">
        <f>-Modello!AI25</f>
        <v>5.7108282761007629</v>
      </c>
      <c r="Y64" s="111">
        <f>-Modello!AI26</f>
        <v>5.8914309971291541</v>
      </c>
      <c r="Z64" s="111">
        <f>-Modello!AI27</f>
        <v>6.0734386530032047</v>
      </c>
      <c r="AA64" s="111">
        <f>-Modello!AI28</f>
        <v>6.2568697915182598</v>
      </c>
      <c r="AB64" s="111">
        <f>-Modello!AI29</f>
        <v>6.441743112633171</v>
      </c>
      <c r="AC64" s="111">
        <f>-Modello!AI30</f>
        <v>6.6280774698560059</v>
      </c>
      <c r="AD64" s="111">
        <f>-Modello!AI31</f>
        <v>6.8158918716410648</v>
      </c>
      <c r="AE64" s="111">
        <f>-Modello!AI32</f>
        <v>7.0052054827973089</v>
      </c>
      <c r="AF64" s="111">
        <f>-Modello!AI33</f>
        <v>7.1960376259082874</v>
      </c>
      <c r="AG64" s="111">
        <f>-Modello!AI34</f>
        <v>7.3884077827636716</v>
      </c>
      <c r="AH64" s="111">
        <f>-Modello!AI35</f>
        <v>7.5823355958024701</v>
      </c>
      <c r="AI64" s="111">
        <f>-Modello!AI36</f>
        <v>7.7778408695680321</v>
      </c>
      <c r="AJ64" s="111">
        <f>-Modello!AI37</f>
        <v>7.9749435721749471</v>
      </c>
      <c r="AK64" s="111">
        <f>-Modello!AI38</f>
        <v>8.1736638367879078</v>
      </c>
    </row>
    <row r="67" spans="1:37" ht="15" customHeight="1" x14ac:dyDescent="0.2">
      <c r="A67" s="113" t="s">
        <v>464</v>
      </c>
      <c r="B67" t="s">
        <v>394</v>
      </c>
      <c r="C67" t="s">
        <v>395</v>
      </c>
      <c r="D67" t="s">
        <v>396</v>
      </c>
      <c r="E67" t="s">
        <v>397</v>
      </c>
      <c r="F67" t="s">
        <v>398</v>
      </c>
      <c r="G67" t="s">
        <v>399</v>
      </c>
      <c r="H67" t="s">
        <v>400</v>
      </c>
      <c r="I67" t="s">
        <v>401</v>
      </c>
      <c r="J67" t="s">
        <v>402</v>
      </c>
      <c r="K67" t="s">
        <v>403</v>
      </c>
      <c r="L67" t="s">
        <v>404</v>
      </c>
      <c r="M67" t="s">
        <v>405</v>
      </c>
      <c r="N67" t="s">
        <v>406</v>
      </c>
      <c r="O67" t="s">
        <v>407</v>
      </c>
      <c r="P67" t="s">
        <v>408</v>
      </c>
      <c r="Q67" t="s">
        <v>409</v>
      </c>
      <c r="R67" t="s">
        <v>410</v>
      </c>
      <c r="S67" t="s">
        <v>411</v>
      </c>
      <c r="T67" t="s">
        <v>412</v>
      </c>
      <c r="U67" t="s">
        <v>413</v>
      </c>
      <c r="V67" t="s">
        <v>414</v>
      </c>
      <c r="W67" t="s">
        <v>415</v>
      </c>
      <c r="X67" t="s">
        <v>416</v>
      </c>
      <c r="Y67" t="s">
        <v>417</v>
      </c>
      <c r="Z67" t="s">
        <v>418</v>
      </c>
      <c r="AA67" t="s">
        <v>419</v>
      </c>
      <c r="AB67" t="s">
        <v>420</v>
      </c>
      <c r="AC67" t="s">
        <v>421</v>
      </c>
      <c r="AD67" t="s">
        <v>422</v>
      </c>
      <c r="AE67" t="s">
        <v>423</v>
      </c>
      <c r="AF67" t="s">
        <v>424</v>
      </c>
      <c r="AG67" t="s">
        <v>425</v>
      </c>
      <c r="AH67" t="s">
        <v>426</v>
      </c>
      <c r="AI67" t="s">
        <v>427</v>
      </c>
      <c r="AJ67" t="s">
        <v>428</v>
      </c>
      <c r="AK67" t="s">
        <v>429</v>
      </c>
    </row>
    <row r="68" spans="1:37" ht="15" customHeight="1" x14ac:dyDescent="0.2">
      <c r="A68" t="s">
        <v>458</v>
      </c>
      <c r="B68" s="112">
        <v>7.4999999999999997E-3</v>
      </c>
      <c r="C68" t="s">
        <v>453</v>
      </c>
      <c r="D68" s="111">
        <f t="shared" ref="D68:AK68" si="17">D57+D64</f>
        <v>0</v>
      </c>
      <c r="E68" s="111">
        <f t="shared" si="17"/>
        <v>2.3128875000000004E-2</v>
      </c>
      <c r="F68" s="111">
        <f t="shared" si="17"/>
        <v>5.0140220581440013E-2</v>
      </c>
      <c r="G68" s="111">
        <f t="shared" si="17"/>
        <v>8.1062621391042658E-2</v>
      </c>
      <c r="H68" s="111">
        <f t="shared" si="17"/>
        <v>0.11592507415209806</v>
      </c>
      <c r="I68" s="111">
        <f t="shared" si="17"/>
        <v>0.15475699104433835</v>
      </c>
      <c r="J68" s="111">
        <f t="shared" si="17"/>
        <v>0.19758820311509409</v>
      </c>
      <c r="K68" s="111">
        <f t="shared" si="17"/>
        <v>0.24177393559356275</v>
      </c>
      <c r="L68" s="111">
        <f t="shared" si="17"/>
        <v>0.28732472549108679</v>
      </c>
      <c r="M68" s="111">
        <f t="shared" si="17"/>
        <v>0.33425124892747377</v>
      </c>
      <c r="N68" s="111">
        <f t="shared" si="17"/>
        <v>0.38256432227222253</v>
      </c>
      <c r="O68" s="111">
        <f t="shared" si="17"/>
        <v>0.4322749032961426</v>
      </c>
      <c r="P68" s="111">
        <f t="shared" si="17"/>
        <v>0.48339409233345065</v>
      </c>
      <c r="Q68" s="111">
        <f t="shared" si="17"/>
        <v>0.5359331334544305</v>
      </c>
      <c r="R68" s="111">
        <f t="shared" si="17"/>
        <v>0.5899034156487426</v>
      </c>
      <c r="S68" s="111">
        <f t="shared" si="17"/>
        <v>3.7291664740194705</v>
      </c>
      <c r="T68" s="111">
        <f t="shared" si="17"/>
        <v>4.2805678601799899</v>
      </c>
      <c r="U68" s="111">
        <f t="shared" si="17"/>
        <v>4.833364351541996</v>
      </c>
      <c r="V68" s="111">
        <f t="shared" si="17"/>
        <v>5.3875942877174055</v>
      </c>
      <c r="W68" s="111">
        <f t="shared" si="17"/>
        <v>5.9432961978902465</v>
      </c>
      <c r="X68" s="111">
        <f t="shared" si="17"/>
        <v>6.5005088028567402</v>
      </c>
      <c r="Y68" s="111">
        <f t="shared" si="17"/>
        <v>6.6382803118143752</v>
      </c>
      <c r="Z68" s="111">
        <f t="shared" si="17"/>
        <v>6.7761022352099571</v>
      </c>
      <c r="AA68" s="111">
        <f t="shared" si="17"/>
        <v>6.9139825838274884</v>
      </c>
      <c r="AB68" s="111">
        <f t="shared" si="17"/>
        <v>7.0519293815060129</v>
      </c>
      <c r="AC68" s="111">
        <f t="shared" si="17"/>
        <v>7.1899506653840985</v>
      </c>
      <c r="AD68" s="111">
        <f t="shared" si="17"/>
        <v>7.3280544861452377</v>
      </c>
      <c r="AE68" s="111">
        <f t="shared" si="17"/>
        <v>7.4662489082641734</v>
      </c>
      <c r="AF68" s="111">
        <f t="shared" si="17"/>
        <v>7.6045420102541721</v>
      </c>
      <c r="AG68" s="111">
        <f t="shared" si="17"/>
        <v>7.7429418849152443</v>
      </c>
      <c r="AH68" s="111">
        <f t="shared" si="17"/>
        <v>7.8814566395833152</v>
      </c>
      <c r="AI68" s="111">
        <f t="shared" si="17"/>
        <v>8.0200943963803581</v>
      </c>
      <c r="AJ68" s="111">
        <f t="shared" si="17"/>
        <v>8.1588632924655133</v>
      </c>
      <c r="AK68" s="111">
        <f t="shared" si="17"/>
        <v>8.297771480287162</v>
      </c>
    </row>
    <row r="69" spans="1:37" ht="15" customHeight="1" x14ac:dyDescent="0.2">
      <c r="A69" t="s">
        <v>459</v>
      </c>
      <c r="B69" s="112">
        <v>1.4999999999999999E-2</v>
      </c>
      <c r="C69" t="s">
        <v>453</v>
      </c>
      <c r="D69" s="111">
        <f t="shared" ref="D69:AK69" si="18">D58+D64</f>
        <v>0</v>
      </c>
      <c r="E69" s="111">
        <f t="shared" si="18"/>
        <v>4.6257750000000007E-2</v>
      </c>
      <c r="F69" s="111">
        <f t="shared" si="18"/>
        <v>0.10028044116288003</v>
      </c>
      <c r="G69" s="111">
        <f t="shared" si="18"/>
        <v>0.16212524278208532</v>
      </c>
      <c r="H69" s="111">
        <f t="shared" si="18"/>
        <v>0.23185014830419612</v>
      </c>
      <c r="I69" s="111">
        <f t="shared" si="18"/>
        <v>0.3095139820886767</v>
      </c>
      <c r="J69" s="111">
        <f t="shared" si="18"/>
        <v>0.39517640623018818</v>
      </c>
      <c r="K69" s="111">
        <f t="shared" si="18"/>
        <v>0.4835478711871255</v>
      </c>
      <c r="L69" s="111">
        <f t="shared" si="18"/>
        <v>0.57464945098217357</v>
      </c>
      <c r="M69" s="111">
        <f t="shared" si="18"/>
        <v>0.66850249785494753</v>
      </c>
      <c r="N69" s="111">
        <f t="shared" si="18"/>
        <v>0.76512864454444507</v>
      </c>
      <c r="O69" s="111">
        <f t="shared" si="18"/>
        <v>0.8645498065922852</v>
      </c>
      <c r="P69" s="111">
        <f t="shared" si="18"/>
        <v>0.96678818466690131</v>
      </c>
      <c r="Q69" s="111">
        <f t="shared" si="18"/>
        <v>1.071866266908861</v>
      </c>
      <c r="R69" s="111">
        <f t="shared" si="18"/>
        <v>1.1798068312974852</v>
      </c>
      <c r="S69" s="111">
        <f t="shared" si="18"/>
        <v>4.3744829480389402</v>
      </c>
      <c r="T69" s="111">
        <f t="shared" si="18"/>
        <v>4.959622976167978</v>
      </c>
      <c r="U69" s="111">
        <f t="shared" si="18"/>
        <v>5.5437419284703049</v>
      </c>
      <c r="V69" s="111">
        <f t="shared" si="18"/>
        <v>6.1268615406274245</v>
      </c>
      <c r="W69" s="111">
        <f t="shared" si="18"/>
        <v>6.709003476815119</v>
      </c>
      <c r="X69" s="111">
        <f t="shared" si="18"/>
        <v>7.2901893296127174</v>
      </c>
      <c r="Y69" s="111">
        <f t="shared" si="18"/>
        <v>7.3851296264995971</v>
      </c>
      <c r="Z69" s="111">
        <f t="shared" si="18"/>
        <v>7.4787658174167104</v>
      </c>
      <c r="AA69" s="111">
        <f t="shared" si="18"/>
        <v>7.571095376136717</v>
      </c>
      <c r="AB69" s="111">
        <f t="shared" si="18"/>
        <v>7.6621156503788548</v>
      </c>
      <c r="AC69" s="111">
        <f t="shared" si="18"/>
        <v>7.7518238609121921</v>
      </c>
      <c r="AD69" s="111">
        <f t="shared" si="18"/>
        <v>7.8402171006494106</v>
      </c>
      <c r="AE69" s="111">
        <f t="shared" si="18"/>
        <v>7.9272923337310388</v>
      </c>
      <c r="AF69" s="111">
        <f t="shared" si="18"/>
        <v>8.0130463946000567</v>
      </c>
      <c r="AG69" s="111">
        <f t="shared" si="18"/>
        <v>8.0974759870668169</v>
      </c>
      <c r="AH69" s="111">
        <f t="shared" si="18"/>
        <v>8.1805776833641612</v>
      </c>
      <c r="AI69" s="111">
        <f t="shared" si="18"/>
        <v>8.2623479231926851</v>
      </c>
      <c r="AJ69" s="111">
        <f t="shared" si="18"/>
        <v>8.3427830127560796</v>
      </c>
      <c r="AK69" s="111">
        <f t="shared" si="18"/>
        <v>8.4218791237864163</v>
      </c>
    </row>
    <row r="70" spans="1:37" ht="15" customHeight="1" x14ac:dyDescent="0.2">
      <c r="A70" t="s">
        <v>460</v>
      </c>
      <c r="B70" s="112">
        <v>2.5000000000000001E-2</v>
      </c>
      <c r="C70" t="s">
        <v>453</v>
      </c>
      <c r="D70" s="111">
        <f t="shared" ref="D70:AK70" si="19">D59+D64</f>
        <v>0</v>
      </c>
      <c r="E70" s="111">
        <f t="shared" si="19"/>
        <v>7.7096250000000019E-2</v>
      </c>
      <c r="F70" s="111">
        <f t="shared" si="19"/>
        <v>0.16713406860480007</v>
      </c>
      <c r="G70" s="111">
        <f t="shared" si="19"/>
        <v>0.27020873797014222</v>
      </c>
      <c r="H70" s="111">
        <f t="shared" si="19"/>
        <v>0.38641691384032689</v>
      </c>
      <c r="I70" s="111">
        <f t="shared" si="19"/>
        <v>0.51585663681446126</v>
      </c>
      <c r="J70" s="111">
        <f t="shared" si="19"/>
        <v>0.65862734371698028</v>
      </c>
      <c r="K70" s="111">
        <f t="shared" si="19"/>
        <v>0.8059131186452092</v>
      </c>
      <c r="L70" s="111">
        <f t="shared" si="19"/>
        <v>0.95774908497028943</v>
      </c>
      <c r="M70" s="111">
        <f t="shared" si="19"/>
        <v>1.114170829758246</v>
      </c>
      <c r="N70" s="111">
        <f t="shared" si="19"/>
        <v>1.2752144075740752</v>
      </c>
      <c r="O70" s="111">
        <f t="shared" si="19"/>
        <v>1.4409163443204756</v>
      </c>
      <c r="P70" s="111">
        <f t="shared" si="19"/>
        <v>1.6113136411115023</v>
      </c>
      <c r="Q70" s="111">
        <f t="shared" si="19"/>
        <v>1.7864437781814351</v>
      </c>
      <c r="R70" s="111">
        <f t="shared" si="19"/>
        <v>1.9663447188291423</v>
      </c>
      <c r="S70" s="111">
        <f t="shared" si="19"/>
        <v>5.2349049133982337</v>
      </c>
      <c r="T70" s="111">
        <f t="shared" si="19"/>
        <v>5.8650297974852972</v>
      </c>
      <c r="U70" s="111">
        <f t="shared" si="19"/>
        <v>6.4909120310413835</v>
      </c>
      <c r="V70" s="111">
        <f t="shared" si="19"/>
        <v>7.1125512111741163</v>
      </c>
      <c r="W70" s="111">
        <f t="shared" si="19"/>
        <v>7.7299465153816156</v>
      </c>
      <c r="X70" s="111">
        <f t="shared" si="19"/>
        <v>8.3430966986206876</v>
      </c>
      <c r="Y70" s="111">
        <f t="shared" si="19"/>
        <v>8.3809287127465595</v>
      </c>
      <c r="Z70" s="111">
        <f t="shared" si="19"/>
        <v>8.41565059369238</v>
      </c>
      <c r="AA70" s="111">
        <f t="shared" si="19"/>
        <v>8.4472457658823554</v>
      </c>
      <c r="AB70" s="111">
        <f t="shared" si="19"/>
        <v>8.47569734220931</v>
      </c>
      <c r="AC70" s="111">
        <f t="shared" si="19"/>
        <v>8.5009881216163166</v>
      </c>
      <c r="AD70" s="111">
        <f t="shared" si="19"/>
        <v>8.5231005866549747</v>
      </c>
      <c r="AE70" s="111">
        <f t="shared" si="19"/>
        <v>8.5420169010201921</v>
      </c>
      <c r="AF70" s="111">
        <f t="shared" si="19"/>
        <v>8.5577189070612381</v>
      </c>
      <c r="AG70" s="111">
        <f t="shared" si="19"/>
        <v>8.570188123268915</v>
      </c>
      <c r="AH70" s="111">
        <f t="shared" si="19"/>
        <v>8.579405741738622</v>
      </c>
      <c r="AI70" s="111">
        <f t="shared" si="19"/>
        <v>8.5853526256091222</v>
      </c>
      <c r="AJ70" s="111">
        <f t="shared" si="19"/>
        <v>8.5880093064768364</v>
      </c>
      <c r="AK70" s="111">
        <f t="shared" si="19"/>
        <v>8.5873559817854233</v>
      </c>
    </row>
    <row r="71" spans="1:37" ht="15" customHeight="1" x14ac:dyDescent="0.2">
      <c r="A71" t="s">
        <v>461</v>
      </c>
      <c r="B71" s="112">
        <v>3.5000000000000003E-2</v>
      </c>
      <c r="C71" t="s">
        <v>453</v>
      </c>
      <c r="D71" s="111">
        <f t="shared" ref="D71:AK71" si="20">D60+D64</f>
        <v>0</v>
      </c>
      <c r="E71" s="111">
        <f t="shared" si="20"/>
        <v>0.10793475000000002</v>
      </c>
      <c r="F71" s="111">
        <f t="shared" si="20"/>
        <v>0.2339876960467201</v>
      </c>
      <c r="G71" s="111">
        <f t="shared" si="20"/>
        <v>0.3782922331581991</v>
      </c>
      <c r="H71" s="111">
        <f t="shared" si="20"/>
        <v>0.54098367937645764</v>
      </c>
      <c r="I71" s="111">
        <f t="shared" si="20"/>
        <v>0.72219929154024576</v>
      </c>
      <c r="J71" s="111">
        <f t="shared" si="20"/>
        <v>0.92207828120377244</v>
      </c>
      <c r="K71" s="111">
        <f t="shared" si="20"/>
        <v>1.1282783661032929</v>
      </c>
      <c r="L71" s="111">
        <f t="shared" si="20"/>
        <v>1.3408487189584053</v>
      </c>
      <c r="M71" s="111">
        <f t="shared" si="20"/>
        <v>1.5598391616615446</v>
      </c>
      <c r="N71" s="111">
        <f t="shared" si="20"/>
        <v>1.7853001706037055</v>
      </c>
      <c r="O71" s="111">
        <f t="shared" si="20"/>
        <v>2.0172828820486659</v>
      </c>
      <c r="P71" s="111">
        <f t="shared" si="20"/>
        <v>2.2558390975561031</v>
      </c>
      <c r="Q71" s="111">
        <f t="shared" si="20"/>
        <v>2.5010212894540089</v>
      </c>
      <c r="R71" s="111">
        <f t="shared" si="20"/>
        <v>2.7528826063607994</v>
      </c>
      <c r="S71" s="111">
        <f t="shared" si="20"/>
        <v>6.0953268787575281</v>
      </c>
      <c r="T71" s="111">
        <f t="shared" si="20"/>
        <v>6.7704366188026146</v>
      </c>
      <c r="U71" s="111">
        <f t="shared" si="20"/>
        <v>7.438082133612463</v>
      </c>
      <c r="V71" s="111">
        <f t="shared" si="20"/>
        <v>8.0982408817208071</v>
      </c>
      <c r="W71" s="111">
        <f t="shared" si="20"/>
        <v>8.7508895539481131</v>
      </c>
      <c r="X71" s="111">
        <f t="shared" si="20"/>
        <v>9.396004067628656</v>
      </c>
      <c r="Y71" s="111">
        <f t="shared" si="20"/>
        <v>9.3767277989935209</v>
      </c>
      <c r="Z71" s="111">
        <f t="shared" si="20"/>
        <v>9.3525353699680522</v>
      </c>
      <c r="AA71" s="111">
        <f t="shared" si="20"/>
        <v>9.3233961556279947</v>
      </c>
      <c r="AB71" s="111">
        <f t="shared" si="20"/>
        <v>9.2892790340397653</v>
      </c>
      <c r="AC71" s="111">
        <f t="shared" si="20"/>
        <v>9.2501523823204401</v>
      </c>
      <c r="AD71" s="111">
        <f t="shared" si="20"/>
        <v>9.205984072660538</v>
      </c>
      <c r="AE71" s="111">
        <f t="shared" si="20"/>
        <v>9.1567414683093453</v>
      </c>
      <c r="AF71" s="111">
        <f t="shared" si="20"/>
        <v>9.1023914195224176</v>
      </c>
      <c r="AG71" s="111">
        <f t="shared" si="20"/>
        <v>9.0429002594710113</v>
      </c>
      <c r="AH71" s="111">
        <f t="shared" si="20"/>
        <v>8.9782338001130828</v>
      </c>
      <c r="AI71" s="111">
        <f t="shared" si="20"/>
        <v>8.9083573280255575</v>
      </c>
      <c r="AJ71" s="111">
        <f t="shared" si="20"/>
        <v>8.8332356001975914</v>
      </c>
      <c r="AK71" s="111">
        <f t="shared" si="20"/>
        <v>8.7528328397844284</v>
      </c>
    </row>
    <row r="74" spans="1:37" ht="15" customHeight="1" x14ac:dyDescent="0.2">
      <c r="A74" s="113" t="s">
        <v>465</v>
      </c>
      <c r="B74" t="s">
        <v>394</v>
      </c>
      <c r="C74" t="s">
        <v>395</v>
      </c>
      <c r="D74" t="s">
        <v>396</v>
      </c>
      <c r="E74" t="s">
        <v>397</v>
      </c>
      <c r="F74" t="s">
        <v>398</v>
      </c>
      <c r="G74" t="s">
        <v>399</v>
      </c>
      <c r="H74" t="s">
        <v>400</v>
      </c>
      <c r="I74" t="s">
        <v>401</v>
      </c>
      <c r="J74" t="s">
        <v>402</v>
      </c>
      <c r="K74" t="s">
        <v>403</v>
      </c>
      <c r="L74" t="s">
        <v>404</v>
      </c>
      <c r="M74" t="s">
        <v>405</v>
      </c>
      <c r="N74" t="s">
        <v>406</v>
      </c>
      <c r="O74" t="s">
        <v>407</v>
      </c>
      <c r="P74" t="s">
        <v>408</v>
      </c>
      <c r="Q74" t="s">
        <v>409</v>
      </c>
      <c r="R74" t="s">
        <v>410</v>
      </c>
      <c r="S74" t="s">
        <v>411</v>
      </c>
      <c r="T74" t="s">
        <v>412</v>
      </c>
      <c r="U74" t="s">
        <v>413</v>
      </c>
      <c r="V74" t="s">
        <v>414</v>
      </c>
      <c r="W74" t="s">
        <v>415</v>
      </c>
      <c r="X74" t="s">
        <v>416</v>
      </c>
      <c r="Y74" t="s">
        <v>417</v>
      </c>
      <c r="Z74" t="s">
        <v>418</v>
      </c>
      <c r="AA74" t="s">
        <v>419</v>
      </c>
      <c r="AB74" t="s">
        <v>420</v>
      </c>
      <c r="AC74" t="s">
        <v>421</v>
      </c>
      <c r="AD74" t="s">
        <v>422</v>
      </c>
      <c r="AE74" t="s">
        <v>423</v>
      </c>
      <c r="AF74" t="s">
        <v>424</v>
      </c>
      <c r="AG74" t="s">
        <v>425</v>
      </c>
      <c r="AH74" t="s">
        <v>426</v>
      </c>
      <c r="AI74" t="s">
        <v>427</v>
      </c>
      <c r="AJ74" t="s">
        <v>428</v>
      </c>
      <c r="AK74" t="s">
        <v>429</v>
      </c>
    </row>
    <row r="75" spans="1:37" ht="15" customHeight="1" x14ac:dyDescent="0.2">
      <c r="A75" t="s">
        <v>458</v>
      </c>
      <c r="B75" s="112">
        <v>7.4999999999999997E-3</v>
      </c>
      <c r="C75" t="s">
        <v>453</v>
      </c>
      <c r="D75" s="111">
        <f>D57</f>
        <v>0</v>
      </c>
      <c r="E75" s="111">
        <f t="shared" ref="E75:AK75" si="21">D75+E57</f>
        <v>2.3128875000000004E-2</v>
      </c>
      <c r="F75" s="111">
        <f t="shared" si="21"/>
        <v>7.3269095581440014E-2</v>
      </c>
      <c r="G75" s="111">
        <f t="shared" si="21"/>
        <v>0.15433171697248266</v>
      </c>
      <c r="H75" s="111">
        <f t="shared" si="21"/>
        <v>0.27025679112458073</v>
      </c>
      <c r="I75" s="111">
        <f t="shared" si="21"/>
        <v>0.42501378216891905</v>
      </c>
      <c r="J75" s="111">
        <f t="shared" si="21"/>
        <v>0.62260198528401312</v>
      </c>
      <c r="K75" s="111">
        <f t="shared" si="21"/>
        <v>0.86437592087757587</v>
      </c>
      <c r="L75" s="111">
        <f t="shared" si="21"/>
        <v>1.1517006463686625</v>
      </c>
      <c r="M75" s="111">
        <f t="shared" si="21"/>
        <v>1.4859518952961364</v>
      </c>
      <c r="N75" s="111">
        <f t="shared" si="21"/>
        <v>1.868516217568359</v>
      </c>
      <c r="O75" s="111">
        <f t="shared" si="21"/>
        <v>2.3007911208645018</v>
      </c>
      <c r="P75" s="111">
        <f t="shared" si="21"/>
        <v>2.7841852131979525</v>
      </c>
      <c r="Q75" s="111">
        <f t="shared" si="21"/>
        <v>3.3201183466523831</v>
      </c>
      <c r="R75" s="111">
        <f t="shared" si="21"/>
        <v>3.9100217623011257</v>
      </c>
      <c r="S75" s="111">
        <f t="shared" si="21"/>
        <v>4.5553382363205959</v>
      </c>
      <c r="T75" s="111">
        <f t="shared" si="21"/>
        <v>5.2343933523085848</v>
      </c>
      <c r="U75" s="111">
        <f t="shared" si="21"/>
        <v>5.9447709292368938</v>
      </c>
      <c r="V75" s="111">
        <f t="shared" si="21"/>
        <v>6.6840381821469119</v>
      </c>
      <c r="W75" s="111">
        <f t="shared" si="21"/>
        <v>7.4497454610717844</v>
      </c>
      <c r="X75" s="111">
        <f t="shared" si="21"/>
        <v>8.2394259878277616</v>
      </c>
      <c r="Y75" s="111">
        <f t="shared" si="21"/>
        <v>8.9862753025129827</v>
      </c>
      <c r="Z75" s="111">
        <f t="shared" si="21"/>
        <v>9.688938884719736</v>
      </c>
      <c r="AA75" s="111">
        <f t="shared" si="21"/>
        <v>10.346051677028965</v>
      </c>
      <c r="AB75" s="111">
        <f t="shared" si="21"/>
        <v>10.956237945901806</v>
      </c>
      <c r="AC75" s="111">
        <f t="shared" si="21"/>
        <v>11.5181111414299</v>
      </c>
      <c r="AD75" s="111">
        <f t="shared" si="21"/>
        <v>12.030273755934072</v>
      </c>
      <c r="AE75" s="111">
        <f t="shared" si="21"/>
        <v>12.491317181400937</v>
      </c>
      <c r="AF75" s="111">
        <f t="shared" si="21"/>
        <v>12.899821565746823</v>
      </c>
      <c r="AG75" s="111">
        <f t="shared" si="21"/>
        <v>13.254355667898396</v>
      </c>
      <c r="AH75" s="111">
        <f t="shared" si="21"/>
        <v>13.553476711679242</v>
      </c>
      <c r="AI75" s="111">
        <f t="shared" si="21"/>
        <v>13.795730238491569</v>
      </c>
      <c r="AJ75" s="111">
        <f t="shared" si="21"/>
        <v>13.979649958782135</v>
      </c>
      <c r="AK75" s="111">
        <f t="shared" si="21"/>
        <v>14.103757602281389</v>
      </c>
    </row>
    <row r="76" spans="1:37" ht="15" customHeight="1" x14ac:dyDescent="0.2">
      <c r="A76" t="s">
        <v>459</v>
      </c>
      <c r="B76" s="112">
        <v>1.4999999999999999E-2</v>
      </c>
      <c r="C76" t="s">
        <v>453</v>
      </c>
      <c r="D76" s="111">
        <f>D58</f>
        <v>0</v>
      </c>
      <c r="E76" s="111">
        <f t="shared" ref="E76:AK76" si="22">D76+E58</f>
        <v>4.6257750000000007E-2</v>
      </c>
      <c r="F76" s="111">
        <f t="shared" si="22"/>
        <v>0.14653819116288003</v>
      </c>
      <c r="G76" s="111">
        <f t="shared" si="22"/>
        <v>0.30866343394496532</v>
      </c>
      <c r="H76" s="111">
        <f t="shared" si="22"/>
        <v>0.54051358224916146</v>
      </c>
      <c r="I76" s="111">
        <f t="shared" si="22"/>
        <v>0.8500275643378381</v>
      </c>
      <c r="J76" s="111">
        <f t="shared" si="22"/>
        <v>1.2452039705680262</v>
      </c>
      <c r="K76" s="111">
        <f t="shared" si="22"/>
        <v>1.7287518417551517</v>
      </c>
      <c r="L76" s="111">
        <f t="shared" si="22"/>
        <v>2.3034012927373251</v>
      </c>
      <c r="M76" s="111">
        <f t="shared" si="22"/>
        <v>2.9719037905922727</v>
      </c>
      <c r="N76" s="111">
        <f t="shared" si="22"/>
        <v>3.7370324351367179</v>
      </c>
      <c r="O76" s="111">
        <f t="shared" si="22"/>
        <v>4.6015822417290035</v>
      </c>
      <c r="P76" s="111">
        <f t="shared" si="22"/>
        <v>5.5683704263959051</v>
      </c>
      <c r="Q76" s="111">
        <f t="shared" si="22"/>
        <v>6.6402366933047663</v>
      </c>
      <c r="R76" s="111">
        <f t="shared" si="22"/>
        <v>7.8200435246022515</v>
      </c>
      <c r="S76" s="111">
        <f t="shared" si="22"/>
        <v>9.1106764726411917</v>
      </c>
      <c r="T76" s="111">
        <f t="shared" si="22"/>
        <v>10.46878670461717</v>
      </c>
      <c r="U76" s="111">
        <f t="shared" si="22"/>
        <v>11.889541858473788</v>
      </c>
      <c r="V76" s="111">
        <f t="shared" si="22"/>
        <v>13.368076364293824</v>
      </c>
      <c r="W76" s="111">
        <f t="shared" si="22"/>
        <v>14.899490922143569</v>
      </c>
      <c r="X76" s="111">
        <f t="shared" si="22"/>
        <v>16.478851975655523</v>
      </c>
      <c r="Y76" s="111">
        <f t="shared" si="22"/>
        <v>17.972550605025965</v>
      </c>
      <c r="Z76" s="111">
        <f t="shared" si="22"/>
        <v>19.377877769439472</v>
      </c>
      <c r="AA76" s="111">
        <f t="shared" si="22"/>
        <v>20.692103354057931</v>
      </c>
      <c r="AB76" s="111">
        <f t="shared" si="22"/>
        <v>21.912475891803613</v>
      </c>
      <c r="AC76" s="111">
        <f t="shared" si="22"/>
        <v>23.0362222828598</v>
      </c>
      <c r="AD76" s="111">
        <f t="shared" si="22"/>
        <v>24.060547511868144</v>
      </c>
      <c r="AE76" s="111">
        <f t="shared" si="22"/>
        <v>24.982634362801875</v>
      </c>
      <c r="AF76" s="111">
        <f t="shared" si="22"/>
        <v>25.799643131493646</v>
      </c>
      <c r="AG76" s="111">
        <f t="shared" si="22"/>
        <v>26.508711335796793</v>
      </c>
      <c r="AH76" s="111">
        <f t="shared" si="22"/>
        <v>27.106953423358483</v>
      </c>
      <c r="AI76" s="111">
        <f t="shared" si="22"/>
        <v>27.591460476983137</v>
      </c>
      <c r="AJ76" s="111">
        <f t="shared" si="22"/>
        <v>27.95929991756427</v>
      </c>
      <c r="AK76" s="111">
        <f t="shared" si="22"/>
        <v>28.207515204562778</v>
      </c>
    </row>
    <row r="77" spans="1:37" ht="15" customHeight="1" x14ac:dyDescent="0.2">
      <c r="A77" t="s">
        <v>460</v>
      </c>
      <c r="B77" s="112">
        <v>2.5000000000000001E-2</v>
      </c>
      <c r="C77" t="s">
        <v>453</v>
      </c>
      <c r="D77" s="111">
        <f>D59</f>
        <v>0</v>
      </c>
      <c r="E77" s="111">
        <f t="shared" ref="E77:AK77" si="23">D77+E59</f>
        <v>7.7096250000000019E-2</v>
      </c>
      <c r="F77" s="111">
        <f t="shared" si="23"/>
        <v>0.2442303186048001</v>
      </c>
      <c r="G77" s="111">
        <f t="shared" si="23"/>
        <v>0.51443905657494238</v>
      </c>
      <c r="H77" s="111">
        <f t="shared" si="23"/>
        <v>0.90085597041526921</v>
      </c>
      <c r="I77" s="111">
        <f t="shared" si="23"/>
        <v>1.4167126072297305</v>
      </c>
      <c r="J77" s="111">
        <f t="shared" si="23"/>
        <v>2.0753399509467108</v>
      </c>
      <c r="K77" s="111">
        <f t="shared" si="23"/>
        <v>2.8812530695919198</v>
      </c>
      <c r="L77" s="111">
        <f t="shared" si="23"/>
        <v>3.8390021545622091</v>
      </c>
      <c r="M77" s="111">
        <f t="shared" si="23"/>
        <v>4.9531729843204548</v>
      </c>
      <c r="N77" s="111">
        <f t="shared" si="23"/>
        <v>6.2283873918945298</v>
      </c>
      <c r="O77" s="111">
        <f t="shared" si="23"/>
        <v>7.6693037362150056</v>
      </c>
      <c r="P77" s="111">
        <f t="shared" si="23"/>
        <v>9.2806173773265073</v>
      </c>
      <c r="Q77" s="111">
        <f t="shared" si="23"/>
        <v>11.067061155507943</v>
      </c>
      <c r="R77" s="111">
        <f t="shared" si="23"/>
        <v>13.033405874337085</v>
      </c>
      <c r="S77" s="111">
        <f t="shared" si="23"/>
        <v>15.184460787735318</v>
      </c>
      <c r="T77" s="111">
        <f t="shared" si="23"/>
        <v>17.447977841028614</v>
      </c>
      <c r="U77" s="111">
        <f t="shared" si="23"/>
        <v>19.81590309745631</v>
      </c>
      <c r="V77" s="111">
        <f t="shared" si="23"/>
        <v>22.280127273823037</v>
      </c>
      <c r="W77" s="111">
        <f t="shared" si="23"/>
        <v>24.832484870239277</v>
      </c>
      <c r="X77" s="111">
        <f t="shared" si="23"/>
        <v>27.464753292759202</v>
      </c>
      <c r="Y77" s="111">
        <f t="shared" si="23"/>
        <v>29.954251008376609</v>
      </c>
      <c r="Z77" s="111">
        <f t="shared" si="23"/>
        <v>32.296462949065784</v>
      </c>
      <c r="AA77" s="111">
        <f t="shared" si="23"/>
        <v>34.486838923429879</v>
      </c>
      <c r="AB77" s="111">
        <f t="shared" si="23"/>
        <v>36.520793153006018</v>
      </c>
      <c r="AC77" s="111">
        <f t="shared" si="23"/>
        <v>38.393703804766325</v>
      </c>
      <c r="AD77" s="111">
        <f t="shared" si="23"/>
        <v>40.100912519780238</v>
      </c>
      <c r="AE77" s="111">
        <f t="shared" si="23"/>
        <v>41.63772393800312</v>
      </c>
      <c r="AF77" s="111">
        <f t="shared" si="23"/>
        <v>42.999405219156067</v>
      </c>
      <c r="AG77" s="111">
        <f t="shared" si="23"/>
        <v>44.181185559661309</v>
      </c>
      <c r="AH77" s="111">
        <f t="shared" si="23"/>
        <v>45.178255705597458</v>
      </c>
      <c r="AI77" s="111">
        <f t="shared" si="23"/>
        <v>45.985767461638545</v>
      </c>
      <c r="AJ77" s="111">
        <f t="shared" si="23"/>
        <v>46.598833195940436</v>
      </c>
      <c r="AK77" s="111">
        <f t="shared" si="23"/>
        <v>47.012525340937948</v>
      </c>
    </row>
    <row r="78" spans="1:37" ht="15" customHeight="1" x14ac:dyDescent="0.2">
      <c r="A78" t="s">
        <v>461</v>
      </c>
      <c r="B78" s="112">
        <v>3.5000000000000003E-2</v>
      </c>
      <c r="C78" t="s">
        <v>453</v>
      </c>
      <c r="D78" s="111">
        <f>D60</f>
        <v>0</v>
      </c>
      <c r="E78" s="111">
        <f t="shared" ref="E78:AK78" si="24">D78+E60</f>
        <v>0.10793475000000002</v>
      </c>
      <c r="F78" s="111">
        <f t="shared" si="24"/>
        <v>0.34192244604672012</v>
      </c>
      <c r="G78" s="111">
        <f t="shared" si="24"/>
        <v>0.72021467920491922</v>
      </c>
      <c r="H78" s="111">
        <f t="shared" si="24"/>
        <v>1.2611983585813769</v>
      </c>
      <c r="I78" s="111">
        <f t="shared" si="24"/>
        <v>1.9833976501216226</v>
      </c>
      <c r="J78" s="111">
        <f t="shared" si="24"/>
        <v>2.9054759313253951</v>
      </c>
      <c r="K78" s="111">
        <f t="shared" si="24"/>
        <v>4.033754297428688</v>
      </c>
      <c r="L78" s="111">
        <f t="shared" si="24"/>
        <v>5.374603016387093</v>
      </c>
      <c r="M78" s="111">
        <f t="shared" si="24"/>
        <v>6.9344421780486378</v>
      </c>
      <c r="N78" s="111">
        <f t="shared" si="24"/>
        <v>8.7197423486523427</v>
      </c>
      <c r="O78" s="111">
        <f t="shared" si="24"/>
        <v>10.737025230701008</v>
      </c>
      <c r="P78" s="111">
        <f t="shared" si="24"/>
        <v>12.992864328257111</v>
      </c>
      <c r="Q78" s="111">
        <f t="shared" si="24"/>
        <v>15.49388561771112</v>
      </c>
      <c r="R78" s="111">
        <f t="shared" si="24"/>
        <v>18.246768224071921</v>
      </c>
      <c r="S78" s="111">
        <f t="shared" si="24"/>
        <v>21.258245102829449</v>
      </c>
      <c r="T78" s="111">
        <f t="shared" si="24"/>
        <v>24.427168977440061</v>
      </c>
      <c r="U78" s="111">
        <f t="shared" si="24"/>
        <v>27.742264336438836</v>
      </c>
      <c r="V78" s="111">
        <f t="shared" si="24"/>
        <v>31.192178183352254</v>
      </c>
      <c r="W78" s="111">
        <f t="shared" si="24"/>
        <v>34.765478818334991</v>
      </c>
      <c r="X78" s="111">
        <f t="shared" si="24"/>
        <v>38.450654609862887</v>
      </c>
      <c r="Y78" s="111">
        <f t="shared" si="24"/>
        <v>41.935951411727252</v>
      </c>
      <c r="Z78" s="111">
        <f t="shared" si="24"/>
        <v>45.215048128692096</v>
      </c>
      <c r="AA78" s="111">
        <f t="shared" si="24"/>
        <v>48.28157449280183</v>
      </c>
      <c r="AB78" s="111">
        <f t="shared" si="24"/>
        <v>51.129110414208427</v>
      </c>
      <c r="AC78" s="111">
        <f t="shared" si="24"/>
        <v>53.751185326672861</v>
      </c>
      <c r="AD78" s="111">
        <f t="shared" si="24"/>
        <v>56.141277527692338</v>
      </c>
      <c r="AE78" s="111">
        <f t="shared" si="24"/>
        <v>58.292813513204372</v>
      </c>
      <c r="AF78" s="111">
        <f t="shared" si="24"/>
        <v>60.199167306818502</v>
      </c>
      <c r="AG78" s="111">
        <f t="shared" si="24"/>
        <v>61.853659783525842</v>
      </c>
      <c r="AH78" s="111">
        <f t="shared" si="24"/>
        <v>63.249557987836454</v>
      </c>
      <c r="AI78" s="111">
        <f t="shared" si="24"/>
        <v>64.380074446293975</v>
      </c>
      <c r="AJ78" s="111">
        <f t="shared" si="24"/>
        <v>65.238366474316621</v>
      </c>
      <c r="AK78" s="111">
        <f t="shared" si="24"/>
        <v>65.817535477313143</v>
      </c>
    </row>
    <row r="81" spans="1:37" ht="7.5" customHeight="1" x14ac:dyDescent="0.2"/>
    <row r="82" spans="1:37" ht="15" customHeight="1" x14ac:dyDescent="0.2">
      <c r="A82" s="114" t="s">
        <v>466</v>
      </c>
    </row>
    <row r="83" spans="1:37" ht="15" customHeight="1" x14ac:dyDescent="0.2">
      <c r="A83" s="46" t="s">
        <v>467</v>
      </c>
    </row>
    <row r="84" spans="1:37" ht="15" customHeight="1" x14ac:dyDescent="0.2">
      <c r="A84" s="115" t="s">
        <v>393</v>
      </c>
      <c r="B84" s="115" t="s">
        <v>453</v>
      </c>
      <c r="C84" s="115" t="s">
        <v>453</v>
      </c>
      <c r="D84" s="115">
        <v>2027</v>
      </c>
      <c r="E84" s="115">
        <v>2028</v>
      </c>
      <c r="F84" s="115">
        <v>2029</v>
      </c>
      <c r="G84" s="115">
        <v>2030</v>
      </c>
      <c r="H84" s="115">
        <v>2031</v>
      </c>
      <c r="I84" s="115">
        <v>2032</v>
      </c>
      <c r="J84" s="115">
        <v>2033</v>
      </c>
      <c r="K84" s="115">
        <v>2034</v>
      </c>
      <c r="L84" s="115">
        <v>2035</v>
      </c>
      <c r="M84" s="115">
        <v>2036</v>
      </c>
      <c r="N84" s="115">
        <v>2037</v>
      </c>
      <c r="O84" s="115">
        <v>2038</v>
      </c>
      <c r="P84" s="115">
        <v>2039</v>
      </c>
      <c r="Q84" s="115">
        <v>2040</v>
      </c>
      <c r="R84" s="115">
        <v>2041</v>
      </c>
      <c r="S84" s="115">
        <v>2042</v>
      </c>
      <c r="T84" s="115">
        <v>2043</v>
      </c>
      <c r="U84" s="115">
        <v>2044</v>
      </c>
      <c r="V84" s="115">
        <v>2045</v>
      </c>
      <c r="W84" s="115">
        <v>2046</v>
      </c>
      <c r="X84" s="115">
        <v>2047</v>
      </c>
      <c r="Y84" s="115">
        <v>2048</v>
      </c>
      <c r="Z84" s="115">
        <v>2049</v>
      </c>
      <c r="AA84" s="115">
        <v>2050</v>
      </c>
      <c r="AB84" s="115">
        <v>2051</v>
      </c>
      <c r="AC84" s="115">
        <v>2052</v>
      </c>
      <c r="AD84" s="115">
        <v>2053</v>
      </c>
      <c r="AE84" s="115">
        <v>2054</v>
      </c>
      <c r="AF84" s="115">
        <v>2055</v>
      </c>
      <c r="AG84" s="115">
        <v>2056</v>
      </c>
      <c r="AH84" s="115">
        <v>2057</v>
      </c>
      <c r="AI84" s="115">
        <v>2058</v>
      </c>
      <c r="AJ84" s="115">
        <v>2059</v>
      </c>
      <c r="AK84" s="115">
        <v>2060</v>
      </c>
    </row>
    <row r="85" spans="1:37" ht="15" customHeight="1" x14ac:dyDescent="0.2">
      <c r="A85" s="116" t="s">
        <v>468</v>
      </c>
    </row>
    <row r="86" spans="1:37" ht="15" customHeight="1" x14ac:dyDescent="0.2">
      <c r="A86" t="s">
        <v>469</v>
      </c>
      <c r="B86" t="s">
        <v>453</v>
      </c>
      <c r="C86" t="s">
        <v>453</v>
      </c>
      <c r="D86">
        <f>Parametri!$B$136*Modello!H5</f>
        <v>260.56576000000001</v>
      </c>
      <c r="E86">
        <f>D86*(1+Parametri!$B$22)*(1+Parametri!$B$15)</f>
        <v>259.78145706239997</v>
      </c>
      <c r="F86">
        <f>E86*(1+Parametri!$B$22)*(1+Parametri!$B$15)</f>
        <v>258.99951487664214</v>
      </c>
      <c r="G86">
        <f>F86*(1+Parametri!$B$22)*(1+Parametri!$B$15)</f>
        <v>258.21992633686347</v>
      </c>
      <c r="H86">
        <f>G86*(1+Parametri!$B$22)*(1+Parametri!$B$15)</f>
        <v>257.44268435858953</v>
      </c>
      <c r="I86">
        <f>H86*(1+Parametri!$B$22)*(1+Parametri!$B$15)</f>
        <v>256.66778187867016</v>
      </c>
      <c r="J86">
        <f>I86*(1+Parametri!$B$22)*(1+Parametri!$B$15)</f>
        <v>255.89521185521534</v>
      </c>
      <c r="K86">
        <f>J86*(1+Parametri!$B$22)*(1+Parametri!$B$15)</f>
        <v>255.1249672675311</v>
      </c>
      <c r="L86">
        <f>K86*(1+Parametri!$B$22)*(1+Parametri!$B$15)</f>
        <v>254.35704111605585</v>
      </c>
      <c r="M86">
        <f>L86*(1+Parametri!$B$22)*(1+Parametri!$B$15)</f>
        <v>253.59142642229651</v>
      </c>
      <c r="N86">
        <f>M86*(1+Parametri!$B$22)*(1+Parametri!$B$15)</f>
        <v>252.8281162287654</v>
      </c>
      <c r="O86">
        <f>N86*(1+Parametri!$B$22)*(1+Parametri!$B$15)</f>
        <v>252.06710359891682</v>
      </c>
      <c r="P86">
        <f>O86*(1+Parametri!$B$22)*(1+Parametri!$B$15)</f>
        <v>251.30838161708408</v>
      </c>
      <c r="Q86">
        <f>P86*(1+Parametri!$B$22)*(1+Parametri!$B$15)</f>
        <v>250.55194338841665</v>
      </c>
      <c r="R86">
        <f>Q86*(1+Parametri!$B$22)*(1+Parametri!$B$15)</f>
        <v>249.7977820388175</v>
      </c>
      <c r="S86">
        <f>R86*(1+Parametri!$B$22)*(1+Parametri!$B$15)</f>
        <v>249.04589071488064</v>
      </c>
      <c r="T86">
        <f>S86*(1+Parametri!$B$22)*(1+Parametri!$B$15)</f>
        <v>248.29626258382885</v>
      </c>
      <c r="U86">
        <f>T86*(1+Parametri!$B$22)*(1+Parametri!$B$15)</f>
        <v>247.54889083345154</v>
      </c>
      <c r="V86">
        <f>U86*(1+Parametri!$B$22)*(1+Parametri!$B$15)</f>
        <v>246.80376867204285</v>
      </c>
      <c r="W86">
        <f>V86*(1+Parametri!$B$22)*(1+Parametri!$B$15)</f>
        <v>246.06088932833998</v>
      </c>
      <c r="X86">
        <f>W86*(1+Parametri!$B$22)*(1+Parametri!$B$15)</f>
        <v>245.32024605146165</v>
      </c>
      <c r="Y86">
        <f>X86*(1+Parametri!$B$22)*(1+Parametri!$B$15)</f>
        <v>244.58183211084676</v>
      </c>
      <c r="Z86">
        <f>Y86*(1+Parametri!$B$22)*(1+Parametri!$B$15)</f>
        <v>243.84564079619312</v>
      </c>
      <c r="AA86">
        <f>Z86*(1+Parametri!$B$22)*(1+Parametri!$B$15)</f>
        <v>243.11166541739658</v>
      </c>
      <c r="AB86">
        <f>AA86*(1+Parametri!$B$22)*(1+Parametri!$B$15)</f>
        <v>242.37989930449024</v>
      </c>
      <c r="AC86">
        <f>AB86*(1+Parametri!$B$22)*(1+Parametri!$B$15)</f>
        <v>241.65033580758373</v>
      </c>
      <c r="AD86">
        <f>AC86*(1+Parametri!$B$22)*(1+Parametri!$B$15)</f>
        <v>240.92296829680288</v>
      </c>
      <c r="AE86">
        <f>AD86*(1+Parametri!$B$22)*(1+Parametri!$B$15)</f>
        <v>240.1977901622295</v>
      </c>
      <c r="AF86">
        <f>AE86*(1+Parametri!$B$22)*(1+Parametri!$B$15)</f>
        <v>239.47479481384119</v>
      </c>
      <c r="AG86">
        <f>AF86*(1+Parametri!$B$22)*(1+Parametri!$B$15)</f>
        <v>238.75397568145152</v>
      </c>
      <c r="AH86">
        <f>AG86*(1+Parametri!$B$22)*(1+Parametri!$B$15)</f>
        <v>238.03532621465035</v>
      </c>
      <c r="AI86">
        <f>AH86*(1+Parametri!$B$22)*(1+Parametri!$B$15)</f>
        <v>237.31883988274427</v>
      </c>
      <c r="AJ86">
        <f>AI86*(1+Parametri!$B$22)*(1+Parametri!$B$15)</f>
        <v>236.60451017469723</v>
      </c>
      <c r="AK86">
        <f>AJ86*(1+Parametri!$B$22)*(1+Parametri!$B$15)</f>
        <v>235.89233059907139</v>
      </c>
    </row>
    <row r="87" spans="1:37" ht="15" customHeight="1" x14ac:dyDescent="0.2">
      <c r="A87" t="s">
        <v>470</v>
      </c>
      <c r="B87" t="s">
        <v>453</v>
      </c>
      <c r="C87" t="s">
        <v>453</v>
      </c>
      <c r="D87">
        <f>Parametri!$B$136*Modello!H5</f>
        <v>260.56576000000001</v>
      </c>
      <c r="E87">
        <f>D87*(1+Parametri!$B$130)*(1+Parametri!$B$15)</f>
        <v>259.26293120000003</v>
      </c>
      <c r="F87">
        <f>E87*(1+Parametri!$B$130)*(1+Parametri!$B$15)</f>
        <v>257.96661654400003</v>
      </c>
      <c r="G87">
        <f>F87*(1+Parametri!$B$130)*(1+Parametri!$B$15)</f>
        <v>256.67678346128002</v>
      </c>
      <c r="H87">
        <f>G87*(1+Parametri!$B$130)*(1+Parametri!$B$15)</f>
        <v>255.39339954397363</v>
      </c>
      <c r="I87">
        <f>H87*(1+Parametri!$B$130)*(1+Parametri!$B$15)</f>
        <v>254.11643254625375</v>
      </c>
      <c r="J87">
        <f>I87*(1+Parametri!$B$130)*(1+Parametri!$B$15)</f>
        <v>252.84585038352247</v>
      </c>
      <c r="K87">
        <f>J87*(1+Parametri!$B$130)*(1+Parametri!$B$15)</f>
        <v>251.58162113160486</v>
      </c>
      <c r="L87">
        <f>K87*(1+Parametri!$B$130)*(1+Parametri!$B$15)</f>
        <v>250.32371302594683</v>
      </c>
      <c r="M87">
        <f>L87*(1+Parametri!$B$130)*(1+Parametri!$B$15)</f>
        <v>249.07209446081708</v>
      </c>
      <c r="N87">
        <f>M87*(1+Parametri!$B$130)*(1+Parametri!$B$15)</f>
        <v>247.82673398851298</v>
      </c>
      <c r="O87">
        <f>N87*(1+Parametri!$B$130)*(1+Parametri!$B$15)</f>
        <v>246.58760031857042</v>
      </c>
      <c r="P87">
        <f>O87*(1+Parametri!$B$130)*(1+Parametri!$B$15)</f>
        <v>245.35466231697757</v>
      </c>
      <c r="Q87">
        <f>P87*(1+Parametri!$B$130)*(1+Parametri!$B$15)</f>
        <v>244.12788900539269</v>
      </c>
      <c r="R87">
        <f>Q87*(1+Parametri!$B$130)*(1+Parametri!$B$15)</f>
        <v>242.90724956036573</v>
      </c>
      <c r="S87">
        <f>R87*(1+Parametri!$B$130)*(1+Parametri!$B$15)</f>
        <v>241.69271331256391</v>
      </c>
      <c r="T87">
        <f>S87*(1+Parametri!$B$130)*(1+Parametri!$B$15)</f>
        <v>240.4842497460011</v>
      </c>
      <c r="U87">
        <f>T87*(1+Parametri!$B$130)*(1+Parametri!$B$15)</f>
        <v>239.28182849727108</v>
      </c>
      <c r="V87">
        <f>U87*(1+Parametri!$B$130)*(1+Parametri!$B$15)</f>
        <v>238.08541935478473</v>
      </c>
      <c r="W87">
        <f>V87*(1+Parametri!$B$130)*(1+Parametri!$B$15)</f>
        <v>236.8949922580108</v>
      </c>
      <c r="X87">
        <f>W87*(1+Parametri!$B$130)*(1+Parametri!$B$15)</f>
        <v>235.71051729672075</v>
      </c>
      <c r="Y87">
        <f>X87*(1+Parametri!$B$130)*(1+Parametri!$B$15)</f>
        <v>234.53196471023713</v>
      </c>
      <c r="Z87">
        <f>Y87*(1+Parametri!$B$130)*(1+Parametri!$B$15)</f>
        <v>233.35930488668595</v>
      </c>
      <c r="AA87">
        <f>Z87*(1+Parametri!$B$130)*(1+Parametri!$B$15)</f>
        <v>232.19250836225251</v>
      </c>
      <c r="AB87">
        <f>AA87*(1+Parametri!$B$130)*(1+Parametri!$B$15)</f>
        <v>231.03154582044124</v>
      </c>
      <c r="AC87">
        <f>AB87*(1+Parametri!$B$130)*(1+Parametri!$B$15)</f>
        <v>229.87638809133904</v>
      </c>
      <c r="AD87">
        <f>AC87*(1+Parametri!$B$130)*(1+Parametri!$B$15)</f>
        <v>228.72700615088235</v>
      </c>
      <c r="AE87">
        <f>AD87*(1+Parametri!$B$130)*(1+Parametri!$B$15)</f>
        <v>227.58337112012794</v>
      </c>
      <c r="AF87">
        <f>AE87*(1+Parametri!$B$130)*(1+Parametri!$B$15)</f>
        <v>226.44545426452729</v>
      </c>
      <c r="AG87">
        <f>AF87*(1+Parametri!$B$130)*(1+Parametri!$B$15)</f>
        <v>225.31322699320464</v>
      </c>
      <c r="AH87">
        <f>AG87*(1+Parametri!$B$130)*(1+Parametri!$B$15)</f>
        <v>224.18666085823861</v>
      </c>
      <c r="AI87">
        <f>AH87*(1+Parametri!$B$130)*(1+Parametri!$B$15)</f>
        <v>223.06572755394743</v>
      </c>
      <c r="AJ87">
        <f>AI87*(1+Parametri!$B$130)*(1+Parametri!$B$15)</f>
        <v>221.95039891617768</v>
      </c>
      <c r="AK87">
        <f>AJ87*(1+Parametri!$B$130)*(1+Parametri!$B$15)</f>
        <v>220.8406469215968</v>
      </c>
    </row>
    <row r="88" spans="1:37" ht="15" customHeight="1" x14ac:dyDescent="0.2">
      <c r="A88" s="116" t="s">
        <v>471</v>
      </c>
    </row>
    <row r="89" spans="1:37" ht="15" customHeight="1" x14ac:dyDescent="0.2">
      <c r="A89" t="s">
        <v>469</v>
      </c>
      <c r="B89" t="s">
        <v>453</v>
      </c>
      <c r="C89" t="s">
        <v>453</v>
      </c>
      <c r="D89">
        <f>Modello!H5-D86</f>
        <v>97.354240000000004</v>
      </c>
      <c r="E89">
        <f>Modello!H6-E86</f>
        <v>102.90989186067702</v>
      </c>
      <c r="F89">
        <f>Modello!H7-F86</f>
        <v>108.51661767228092</v>
      </c>
      <c r="G89">
        <f>Modello!H8-G86</f>
        <v>114.17497412958824</v>
      </c>
      <c r="H89">
        <f>Modello!H9-H86</f>
        <v>119.88552327958809</v>
      </c>
      <c r="I89">
        <f>Modello!H10-I86</f>
        <v>125.64883257235124</v>
      </c>
      <c r="J89">
        <f>Modello!H11-J86</f>
        <v>131.46547491236646</v>
      </c>
      <c r="K89">
        <f>Modello!H12-K86</f>
        <v>137.33602871035114</v>
      </c>
      <c r="L89">
        <f>Modello!H13-L86</f>
        <v>143.26107793553857</v>
      </c>
      <c r="M89">
        <f>Modello!H14-M86</f>
        <v>149.24121216844688</v>
      </c>
      <c r="N89">
        <f>Modello!H15-N86</f>
        <v>155.27702665413392</v>
      </c>
      <c r="O89">
        <f>Modello!H16-O86</f>
        <v>161.36912235594329</v>
      </c>
      <c r="P89">
        <f>Modello!H17-P86</f>
        <v>167.51810600974358</v>
      </c>
      <c r="Q89">
        <f>Modello!H18-Q86</f>
        <v>173.72459017866902</v>
      </c>
      <c r="R89">
        <f>Modello!H19-R86</f>
        <v>174.12146602631697</v>
      </c>
      <c r="S89">
        <f>Modello!H20-S86</f>
        <v>174.48320158212303</v>
      </c>
      <c r="T89">
        <f>Modello!H21-T86</f>
        <v>174.80930062087785</v>
      </c>
      <c r="U89">
        <f>Modello!H22-U86</f>
        <v>175.09926095157437</v>
      </c>
      <c r="V89">
        <f>Modello!H23-V86</f>
        <v>175.3525743545423</v>
      </c>
      <c r="W89">
        <f>Modello!H24-W86</f>
        <v>175.56872651795513</v>
      </c>
      <c r="X89">
        <f>Modello!H25-X86</f>
        <v>175.74719697370506</v>
      </c>
      <c r="Y89">
        <f>Modello!H26-Y86</f>
        <v>175.88745903263938</v>
      </c>
      <c r="Z89">
        <f>Modello!H27-Z86</f>
        <v>175.9889797191519</v>
      </c>
      <c r="AA89">
        <f>Modello!H28-AA86</f>
        <v>176.05121970512391</v>
      </c>
      <c r="AB89">
        <f>Modello!H29-AB86</f>
        <v>176.07363324320752</v>
      </c>
      <c r="AC89">
        <f>Modello!H30-AC86</f>
        <v>176.05566809944636</v>
      </c>
      <c r="AD89">
        <f>Modello!H31-AD86</f>
        <v>175.99676548522569</v>
      </c>
      <c r="AE89">
        <f>Modello!H32-AE86</f>
        <v>175.89635998854752</v>
      </c>
      <c r="AF89">
        <f>Modello!H33-AF86</f>
        <v>175.7538795046222</v>
      </c>
      <c r="AG89">
        <f>Modello!H34-AG86</f>
        <v>175.56874516577162</v>
      </c>
      <c r="AH89">
        <f>Modello!H35-AH86</f>
        <v>175.34037127063624</v>
      </c>
      <c r="AI89">
        <f>Modello!H36-AI86</f>
        <v>175.06816521268058</v>
      </c>
      <c r="AJ89">
        <f>Modello!H37-AJ86</f>
        <v>174.7515274079891</v>
      </c>
      <c r="AK89">
        <f>Modello!H38-AK86</f>
        <v>174.38985122234646</v>
      </c>
    </row>
    <row r="90" spans="1:37" ht="15" customHeight="1" x14ac:dyDescent="0.2">
      <c r="A90" t="s">
        <v>470</v>
      </c>
      <c r="B90" t="s">
        <v>453</v>
      </c>
      <c r="C90" t="s">
        <v>453</v>
      </c>
      <c r="D90">
        <f>Modello_Pess!H5-D87</f>
        <v>97.354240000000004</v>
      </c>
      <c r="E90">
        <f>Modello_Pess!H6-E87</f>
        <v>101.62935349230764</v>
      </c>
      <c r="F90">
        <f>Modello_Pess!H7-F87</f>
        <v>105.91256526876913</v>
      </c>
      <c r="G90">
        <f>Modello_Pess!H8-G87</f>
        <v>110.2039688241112</v>
      </c>
      <c r="H90">
        <f>Modello_Pess!H9-H87</f>
        <v>114.50365772423899</v>
      </c>
      <c r="I90">
        <f>Modello_Pess!H10-I87</f>
        <v>118.81172560790674</v>
      </c>
      <c r="J90">
        <f>Modello_Pess!H11-J87</f>
        <v>123.12826618838614</v>
      </c>
      <c r="K90">
        <f>Modello_Pess!H12-K87</f>
        <v>127.45337325513495</v>
      </c>
      <c r="L90">
        <f>Modello_Pess!H13-L87</f>
        <v>131.78714067546403</v>
      </c>
      <c r="M90">
        <f>Modello_Pess!H14-M87</f>
        <v>136.1296623962034</v>
      </c>
      <c r="N90">
        <f>Modello_Pess!H15-N87</f>
        <v>140.48103244536733</v>
      </c>
      <c r="O90">
        <f>Modello_Pess!H16-O87</f>
        <v>144.8413449338193</v>
      </c>
      <c r="P90">
        <f>Modello_Pess!H17-P87</f>
        <v>149.21069405693459</v>
      </c>
      <c r="Q90">
        <f>Modello_Pess!H18-Q87</f>
        <v>153.58917409626386</v>
      </c>
      <c r="R90">
        <f>Modello_Pess!H19-R87</f>
        <v>152.50375232453464</v>
      </c>
      <c r="S90">
        <f>Modello_Pess!H20-S87</f>
        <v>151.39481153471189</v>
      </c>
      <c r="T90">
        <f>Modello_Pess!H21-T87</f>
        <v>150.26229850240733</v>
      </c>
      <c r="U90">
        <f>Modello_Pess!H22-U87</f>
        <v>149.10615950495327</v>
      </c>
      <c r="V90">
        <f>Modello_Pess!H23-V87</f>
        <v>147.92634032084408</v>
      </c>
      <c r="W90">
        <f>Modello_Pess!H24-W87</f>
        <v>146.72278622917099</v>
      </c>
      <c r="X90">
        <f>Modello_Pess!H25-X87</f>
        <v>145.4954420090462</v>
      </c>
      <c r="Y90">
        <f>Modello_Pess!H26-Y87</f>
        <v>144.24425193902007</v>
      </c>
      <c r="Z90">
        <f>Modello_Pess!H27-Z87</f>
        <v>142.96915979648878</v>
      </c>
      <c r="AA90">
        <f>Modello_Pess!H28-AA87</f>
        <v>141.6701088570934</v>
      </c>
      <c r="AB90">
        <f>Modello_Pess!H29-AB87</f>
        <v>140.3470418941107</v>
      </c>
      <c r="AC90">
        <f>Modello_Pess!H30-AC87</f>
        <v>138.99990117783523</v>
      </c>
      <c r="AD90">
        <f>Modello_Pess!H31-AD87</f>
        <v>137.62862847495251</v>
      </c>
      <c r="AE90">
        <f>Modello_Pess!H32-AE87</f>
        <v>136.23316504790404</v>
      </c>
      <c r="AF90">
        <f>Modello_Pess!H33-AF87</f>
        <v>134.81345165424338</v>
      </c>
      <c r="AG90">
        <f>Modello_Pess!H34-AG87</f>
        <v>133.36942854598362</v>
      </c>
      <c r="AH90">
        <f>Modello_Pess!H35-AH87</f>
        <v>131.90103546893653</v>
      </c>
      <c r="AI90">
        <f>Modello_Pess!H36-AI87</f>
        <v>130.40821166204265</v>
      </c>
      <c r="AJ90">
        <f>Modello_Pess!H37-AJ87</f>
        <v>128.89089585669325</v>
      </c>
      <c r="AK90">
        <f>Modello_Pess!H38-AK87</f>
        <v>127.34902627604336</v>
      </c>
    </row>
    <row r="91" spans="1:37" ht="15" customHeight="1" x14ac:dyDescent="0.2">
      <c r="A91" s="116" t="s">
        <v>472</v>
      </c>
    </row>
    <row r="92" spans="1:37" ht="15" customHeight="1" x14ac:dyDescent="0.2">
      <c r="A92" t="s">
        <v>469</v>
      </c>
      <c r="B92" t="s">
        <v>453</v>
      </c>
      <c r="C92" t="s">
        <v>453</v>
      </c>
      <c r="D92">
        <f>D86/Modello!H5</f>
        <v>0.72799999999999998</v>
      </c>
      <c r="E92">
        <f>E86/Modello!H6</f>
        <v>0.71626041766299997</v>
      </c>
      <c r="F92">
        <f>F86/Modello!H7</f>
        <v>0.70472964841118813</v>
      </c>
      <c r="G92">
        <f>G86/Modello!H8</f>
        <v>0.69340349723754069</v>
      </c>
      <c r="H92">
        <f>H86/Modello!H9</f>
        <v>0.68227786618447817</v>
      </c>
      <c r="I92">
        <f>I86/Modello!H10</f>
        <v>0.67134875173349784</v>
      </c>
      <c r="J92">
        <f>J86/Modello!H11</f>
        <v>0.66061224227628879</v>
      </c>
      <c r="K92">
        <f>K86/Modello!H12</f>
        <v>0.65006451566440271</v>
      </c>
      <c r="L92">
        <f>L86/Modello!H13</f>
        <v>0.63970183683468107</v>
      </c>
      <c r="M92">
        <f>M86/Modello!H14</f>
        <v>0.62952055550774766</v>
      </c>
      <c r="N92">
        <f>N86/Modello!H15</f>
        <v>0.61951710395698512</v>
      </c>
      <c r="O92">
        <f>O86/Modello!H16</f>
        <v>0.60968799484551717</v>
      </c>
      <c r="P92">
        <f>P86/Modello!H17</f>
        <v>0.60002981912881936</v>
      </c>
      <c r="Q92">
        <f>Q86/Modello!H18</f>
        <v>0.59053924402066871</v>
      </c>
      <c r="R92">
        <f>R86/Modello!H19</f>
        <v>0.58925793810720406</v>
      </c>
      <c r="S92">
        <f>S86/Modello!H20</f>
        <v>0.588025463290335</v>
      </c>
      <c r="T92">
        <f>T86/Modello!H21</f>
        <v>0.5868423489948259</v>
      </c>
      <c r="U92">
        <f>U86/Modello!H22</f>
        <v>0.58570915260825229</v>
      </c>
      <c r="V92">
        <f>V86/Modello!H23</f>
        <v>0.58462646066767843</v>
      </c>
      <c r="W92">
        <f>W86/Modello!H24</f>
        <v>0.58359489011332011</v>
      </c>
      <c r="X92">
        <f>X86/Modello!H25</f>
        <v>0.58261508961356379</v>
      </c>
      <c r="Y92">
        <f>Y86/Modello!H26</f>
        <v>0.58168774096604037</v>
      </c>
      <c r="Z92">
        <f>Z86/Modello!H27</f>
        <v>0.58081356057981537</v>
      </c>
      <c r="AA92">
        <f>AA86/Modello!H28</f>
        <v>0.57999330104414071</v>
      </c>
      <c r="AB92">
        <f>AB86/Modello!H29</f>
        <v>0.57922775278964189</v>
      </c>
      <c r="AC92">
        <f>AC86/Modello!H30</f>
        <v>0.57851774584827009</v>
      </c>
      <c r="AD92">
        <f>AD86/Modello!H31</f>
        <v>0.57786415171885519</v>
      </c>
      <c r="AE92">
        <f>AE86/Modello!H32</f>
        <v>0.57726788534563822</v>
      </c>
      <c r="AF92">
        <f>AF86/Modello!H33</f>
        <v>0.57672990721776074</v>
      </c>
      <c r="AG92">
        <f>AG86/Modello!H34</f>
        <v>0.57625122559834074</v>
      </c>
      <c r="AH92">
        <f>AH86/Modello!H35</f>
        <v>0.57583289889247258</v>
      </c>
      <c r="AI92">
        <f>AI86/Modello!H36</f>
        <v>0.57547603816427129</v>
      </c>
      <c r="AJ92">
        <f>AJ86/Modello!H37</f>
        <v>0.57518180981393174</v>
      </c>
      <c r="AK92">
        <f>AK86/Modello!H38</f>
        <v>0.57495143842670571</v>
      </c>
    </row>
    <row r="93" spans="1:37" ht="15" customHeight="1" x14ac:dyDescent="0.2">
      <c r="A93" t="s">
        <v>470</v>
      </c>
      <c r="B93" t="s">
        <v>453</v>
      </c>
      <c r="C93" t="s">
        <v>453</v>
      </c>
      <c r="D93">
        <f>D87/Modello_Pess!H5</f>
        <v>0.72799999999999998</v>
      </c>
      <c r="E93">
        <f>E87/Modello_Pess!H6</f>
        <v>0.71839421954128058</v>
      </c>
      <c r="F93">
        <f>F87/Modello_Pess!H7</f>
        <v>0.7089348042909871</v>
      </c>
      <c r="G93">
        <f>G87/Modello_Pess!H8</f>
        <v>0.69961910474282629</v>
      </c>
      <c r="H93">
        <f>H87/Modello_Pess!H9</f>
        <v>0.69044452916203569</v>
      </c>
      <c r="I93">
        <f>I87/Modello_Pess!H10</f>
        <v>0.6814085420742283</v>
      </c>
      <c r="J93">
        <f>J87/Modello_Pess!H11</f>
        <v>0.67250866280089605</v>
      </c>
      <c r="K93">
        <f>K87/Modello_Pess!H12</f>
        <v>0.66374246403990134</v>
      </c>
      <c r="L93">
        <f>L87/Modello_Pess!H13</f>
        <v>0.65510757048936075</v>
      </c>
      <c r="M93">
        <f>M87/Modello_Pess!H14</f>
        <v>0.64660165751338428</v>
      </c>
      <c r="N93">
        <f>N87/Modello_Pess!H15</f>
        <v>0.63822244984819809</v>
      </c>
      <c r="O93">
        <f>O87/Modello_Pess!H16</f>
        <v>0.62996772034723447</v>
      </c>
      <c r="P93">
        <f>P87/Modello_Pess!H17</f>
        <v>0.62183528876383609</v>
      </c>
      <c r="Q93">
        <f>Q87/Modello_Pess!H18</f>
        <v>0.61382302057026294</v>
      </c>
      <c r="R93">
        <f>R87/Modello_Pess!H19</f>
        <v>0.61431585970658764</v>
      </c>
      <c r="S93">
        <f>S87/Modello_Pess!H20</f>
        <v>0.61485724688532783</v>
      </c>
      <c r="T93">
        <f>T87/Modello_Pess!H21</f>
        <v>0.61544817433196775</v>
      </c>
      <c r="U93">
        <f>U87/Modello_Pess!H22</f>
        <v>0.61608967292752803</v>
      </c>
      <c r="V93">
        <f>V87/Modello_Pess!H23</f>
        <v>0.61678281396103396</v>
      </c>
      <c r="W93">
        <f>W87/Modello_Pess!H24</f>
        <v>0.61752871097950535</v>
      </c>
      <c r="X93">
        <f>X87/Modello_Pess!H25</f>
        <v>0.61832852174185537</v>
      </c>
      <c r="Y93">
        <f>Y87/Modello_Pess!H26</f>
        <v>0.6191834502835516</v>
      </c>
      <c r="Z93">
        <f>Z87/Modello_Pess!H27</f>
        <v>0.62009474909942741</v>
      </c>
      <c r="AA93">
        <f>AA87/Modello_Pess!H28</f>
        <v>0.62106372145259103</v>
      </c>
      <c r="AB93">
        <f>AB87/Modello_Pess!H29</f>
        <v>0.62209172381800348</v>
      </c>
      <c r="AC93">
        <f>AC87/Modello_Pess!H30</f>
        <v>0.6231801684699636</v>
      </c>
      <c r="AD93">
        <f>AD87/Modello_Pess!H31</f>
        <v>0.62433052622347429</v>
      </c>
      <c r="AE93">
        <f>AE87/Modello_Pess!H32</f>
        <v>0.62554432934025983</v>
      </c>
      <c r="AF93">
        <f>AF87/Modello_Pess!H33</f>
        <v>0.6268231746110744</v>
      </c>
      <c r="AG93">
        <f>AG87/Modello_Pess!H34</f>
        <v>0.62816872662689371</v>
      </c>
      <c r="AH93">
        <f>AH87/Modello_Pess!H35</f>
        <v>0.62958272125261749</v>
      </c>
      <c r="AI93">
        <f>AI87/Modello_Pess!H36</f>
        <v>0.63106696931804984</v>
      </c>
      <c r="AJ93">
        <f>AJ87/Modello_Pess!H37</f>
        <v>0.63262336054216428</v>
      </c>
      <c r="AK93">
        <f>AK87/Modello_Pess!H38</f>
        <v>0.63425386770802583</v>
      </c>
    </row>
    <row r="94" spans="1:37" ht="15" customHeight="1" x14ac:dyDescent="0.2">
      <c r="A94" s="116" t="s">
        <v>473</v>
      </c>
    </row>
    <row r="95" spans="1:37" ht="15" customHeight="1" x14ac:dyDescent="0.2">
      <c r="A95" t="s">
        <v>474</v>
      </c>
      <c r="B95" t="s">
        <v>453</v>
      </c>
      <c r="C95" t="s">
        <v>453</v>
      </c>
      <c r="D95" s="112">
        <f>Parametri!$B$22+Parametri!$B$15</f>
        <v>-3.0000000000000001E-3</v>
      </c>
      <c r="E95" s="112">
        <f>Parametri!$B$22+Parametri!$B$15</f>
        <v>-3.0000000000000001E-3</v>
      </c>
      <c r="F95" s="112">
        <f>Parametri!$B$22+Parametri!$B$15</f>
        <v>-3.0000000000000001E-3</v>
      </c>
      <c r="G95" s="112">
        <f>Parametri!$B$22+Parametri!$B$15</f>
        <v>-3.0000000000000001E-3</v>
      </c>
      <c r="H95" s="112">
        <f>Parametri!$B$22+Parametri!$B$15</f>
        <v>-3.0000000000000001E-3</v>
      </c>
      <c r="I95" s="112">
        <f>Parametri!$B$22+Parametri!$B$15</f>
        <v>-3.0000000000000001E-3</v>
      </c>
      <c r="J95" s="112">
        <f>Parametri!$B$22+Parametri!$B$15</f>
        <v>-3.0000000000000001E-3</v>
      </c>
      <c r="K95" s="112">
        <f>Parametri!$B$22+Parametri!$B$15</f>
        <v>-3.0000000000000001E-3</v>
      </c>
      <c r="L95" s="112">
        <f>Parametri!$B$22+Parametri!$B$15</f>
        <v>-3.0000000000000001E-3</v>
      </c>
      <c r="M95" s="112">
        <f>Parametri!$B$22+Parametri!$B$15</f>
        <v>-3.0000000000000001E-3</v>
      </c>
      <c r="N95" s="112">
        <f>Parametri!$B$22+Parametri!$B$15</f>
        <v>-3.0000000000000001E-3</v>
      </c>
      <c r="O95" s="112">
        <f>Parametri!$B$22+Parametri!$B$15</f>
        <v>-3.0000000000000001E-3</v>
      </c>
      <c r="P95" s="112">
        <f>Parametri!$B$22+Parametri!$B$15</f>
        <v>-3.0000000000000001E-3</v>
      </c>
      <c r="Q95" s="112">
        <f>Parametri!$B$22+Parametri!$B$15</f>
        <v>-3.0000000000000001E-3</v>
      </c>
      <c r="R95" s="112">
        <f>Parametri!$B$22+Parametri!$B$15</f>
        <v>-3.0000000000000001E-3</v>
      </c>
      <c r="S95" s="112">
        <f>Parametri!$B$22+Parametri!$B$15</f>
        <v>-3.0000000000000001E-3</v>
      </c>
      <c r="T95" s="112">
        <f>Parametri!$B$22+Parametri!$B$15</f>
        <v>-3.0000000000000001E-3</v>
      </c>
      <c r="U95" s="112">
        <f>Parametri!$B$22+Parametri!$B$15</f>
        <v>-3.0000000000000001E-3</v>
      </c>
      <c r="V95" s="112">
        <f>Parametri!$B$22+Parametri!$B$15</f>
        <v>-3.0000000000000001E-3</v>
      </c>
      <c r="W95" s="112">
        <f>Parametri!$B$22+Parametri!$B$15</f>
        <v>-3.0000000000000001E-3</v>
      </c>
      <c r="X95" s="112">
        <f>Parametri!$B$22+Parametri!$B$15</f>
        <v>-3.0000000000000001E-3</v>
      </c>
      <c r="Y95" s="112">
        <f>Parametri!$B$22+Parametri!$B$15</f>
        <v>-3.0000000000000001E-3</v>
      </c>
      <c r="Z95" s="112">
        <f>Parametri!$B$22+Parametri!$B$15</f>
        <v>-3.0000000000000001E-3</v>
      </c>
      <c r="AA95" s="112">
        <f>Parametri!$B$22+Parametri!$B$15</f>
        <v>-3.0000000000000001E-3</v>
      </c>
      <c r="AB95" s="112">
        <f>Parametri!$B$22+Parametri!$B$15</f>
        <v>-3.0000000000000001E-3</v>
      </c>
      <c r="AC95" s="112">
        <f>Parametri!$B$22+Parametri!$B$15</f>
        <v>-3.0000000000000001E-3</v>
      </c>
      <c r="AD95" s="112">
        <f>Parametri!$B$22+Parametri!$B$15</f>
        <v>-3.0000000000000001E-3</v>
      </c>
      <c r="AE95" s="112">
        <f>Parametri!$B$22+Parametri!$B$15</f>
        <v>-3.0000000000000001E-3</v>
      </c>
      <c r="AF95" s="112">
        <f>Parametri!$B$22+Parametri!$B$15</f>
        <v>-3.0000000000000001E-3</v>
      </c>
      <c r="AG95" s="112">
        <f>Parametri!$B$22+Parametri!$B$15</f>
        <v>-3.0000000000000001E-3</v>
      </c>
      <c r="AH95" s="112">
        <f>Parametri!$B$22+Parametri!$B$15</f>
        <v>-3.0000000000000001E-3</v>
      </c>
      <c r="AI95" s="112">
        <f>Parametri!$B$22+Parametri!$B$15</f>
        <v>-3.0000000000000001E-3</v>
      </c>
      <c r="AJ95" s="112">
        <f>Parametri!$B$22+Parametri!$B$15</f>
        <v>-3.0000000000000001E-3</v>
      </c>
      <c r="AK95" s="112">
        <f>Parametri!$B$22+Parametri!$B$15</f>
        <v>-3.0000000000000001E-3</v>
      </c>
    </row>
    <row r="96" spans="1:37" ht="15" customHeight="1" x14ac:dyDescent="0.2">
      <c r="A96" t="s">
        <v>475</v>
      </c>
      <c r="B96" t="s">
        <v>453</v>
      </c>
      <c r="C96" t="s">
        <v>453</v>
      </c>
      <c r="D96" s="112">
        <f>Parametri!$B$130+Parametri!$B$15</f>
        <v>-5.0000000000000001E-3</v>
      </c>
      <c r="E96" s="112">
        <f>Parametri!$B$130+Parametri!$B$15</f>
        <v>-5.0000000000000001E-3</v>
      </c>
      <c r="F96" s="112">
        <f>Parametri!$B$130+Parametri!$B$15</f>
        <v>-5.0000000000000001E-3</v>
      </c>
      <c r="G96" s="112">
        <f>Parametri!$B$130+Parametri!$B$15</f>
        <v>-5.0000000000000001E-3</v>
      </c>
      <c r="H96" s="112">
        <f>Parametri!$B$130+Parametri!$B$15</f>
        <v>-5.0000000000000001E-3</v>
      </c>
      <c r="I96" s="112">
        <f>Parametri!$B$130+Parametri!$B$15</f>
        <v>-5.0000000000000001E-3</v>
      </c>
      <c r="J96" s="112">
        <f>Parametri!$B$130+Parametri!$B$15</f>
        <v>-5.0000000000000001E-3</v>
      </c>
      <c r="K96" s="112">
        <f>Parametri!$B$130+Parametri!$B$15</f>
        <v>-5.0000000000000001E-3</v>
      </c>
      <c r="L96" s="112">
        <f>Parametri!$B$130+Parametri!$B$15</f>
        <v>-5.0000000000000001E-3</v>
      </c>
      <c r="M96" s="112">
        <f>Parametri!$B$130+Parametri!$B$15</f>
        <v>-5.0000000000000001E-3</v>
      </c>
      <c r="N96" s="112">
        <f>Parametri!$B$130+Parametri!$B$15</f>
        <v>-5.0000000000000001E-3</v>
      </c>
      <c r="O96" s="112">
        <f>Parametri!$B$130+Parametri!$B$15</f>
        <v>-5.0000000000000001E-3</v>
      </c>
      <c r="P96" s="112">
        <f>Parametri!$B$130+Parametri!$B$15</f>
        <v>-5.0000000000000001E-3</v>
      </c>
      <c r="Q96" s="112">
        <f>Parametri!$B$130+Parametri!$B$15</f>
        <v>-5.0000000000000001E-3</v>
      </c>
      <c r="R96" s="112">
        <f>Parametri!$B$130+Parametri!$B$15</f>
        <v>-5.0000000000000001E-3</v>
      </c>
      <c r="S96" s="112">
        <f>Parametri!$B$130+Parametri!$B$15</f>
        <v>-5.0000000000000001E-3</v>
      </c>
      <c r="T96" s="112">
        <f>Parametri!$B$130+Parametri!$B$15</f>
        <v>-5.0000000000000001E-3</v>
      </c>
      <c r="U96" s="112">
        <f>Parametri!$B$130+Parametri!$B$15</f>
        <v>-5.0000000000000001E-3</v>
      </c>
      <c r="V96" s="112">
        <f>Parametri!$B$130+Parametri!$B$15</f>
        <v>-5.0000000000000001E-3</v>
      </c>
      <c r="W96" s="112">
        <f>Parametri!$B$130+Parametri!$B$15</f>
        <v>-5.0000000000000001E-3</v>
      </c>
      <c r="X96" s="112">
        <f>Parametri!$B$130+Parametri!$B$15</f>
        <v>-5.0000000000000001E-3</v>
      </c>
      <c r="Y96" s="112">
        <f>Parametri!$B$130+Parametri!$B$15</f>
        <v>-5.0000000000000001E-3</v>
      </c>
      <c r="Z96" s="112">
        <f>Parametri!$B$130+Parametri!$B$15</f>
        <v>-5.0000000000000001E-3</v>
      </c>
      <c r="AA96" s="112">
        <f>Parametri!$B$130+Parametri!$B$15</f>
        <v>-5.0000000000000001E-3</v>
      </c>
      <c r="AB96" s="112">
        <f>Parametri!$B$130+Parametri!$B$15</f>
        <v>-5.0000000000000001E-3</v>
      </c>
      <c r="AC96" s="112">
        <f>Parametri!$B$130+Parametri!$B$15</f>
        <v>-5.0000000000000001E-3</v>
      </c>
      <c r="AD96" s="112">
        <f>Parametri!$B$130+Parametri!$B$15</f>
        <v>-5.0000000000000001E-3</v>
      </c>
      <c r="AE96" s="112">
        <f>Parametri!$B$130+Parametri!$B$15</f>
        <v>-5.0000000000000001E-3</v>
      </c>
      <c r="AF96" s="112">
        <f>Parametri!$B$130+Parametri!$B$15</f>
        <v>-5.0000000000000001E-3</v>
      </c>
      <c r="AG96" s="112">
        <f>Parametri!$B$130+Parametri!$B$15</f>
        <v>-5.0000000000000001E-3</v>
      </c>
      <c r="AH96" s="112">
        <f>Parametri!$B$130+Parametri!$B$15</f>
        <v>-5.0000000000000001E-3</v>
      </c>
      <c r="AI96" s="112">
        <f>Parametri!$B$130+Parametri!$B$15</f>
        <v>-5.0000000000000001E-3</v>
      </c>
      <c r="AJ96" s="112">
        <f>Parametri!$B$130+Parametri!$B$15</f>
        <v>-5.0000000000000001E-3</v>
      </c>
      <c r="AK96" s="112">
        <f>Parametri!$B$130+Parametri!$B$15</f>
        <v>-5.0000000000000001E-3</v>
      </c>
    </row>
    <row r="98" spans="1:37" x14ac:dyDescent="0.2">
      <c r="A98" s="117" t="s">
        <v>476</v>
      </c>
    </row>
    <row r="99" spans="1:37" x14ac:dyDescent="0.2">
      <c r="A99" s="117" t="s">
        <v>393</v>
      </c>
      <c r="B99" s="117" t="s">
        <v>477</v>
      </c>
      <c r="C99" s="117" t="s">
        <v>453</v>
      </c>
      <c r="D99" s="117">
        <v>2027</v>
      </c>
      <c r="E99" s="117">
        <v>2028</v>
      </c>
      <c r="F99" s="117">
        <v>2029</v>
      </c>
      <c r="G99" s="117">
        <v>2030</v>
      </c>
      <c r="H99" s="117">
        <v>2031</v>
      </c>
      <c r="I99" s="117">
        <v>2032</v>
      </c>
      <c r="J99" s="117">
        <v>2033</v>
      </c>
      <c r="K99" s="117">
        <v>2034</v>
      </c>
      <c r="L99" s="117">
        <v>2035</v>
      </c>
      <c r="M99" s="117">
        <v>2036</v>
      </c>
      <c r="N99" s="117">
        <v>2037</v>
      </c>
      <c r="O99" s="117">
        <v>2038</v>
      </c>
      <c r="P99" s="117">
        <v>2039</v>
      </c>
      <c r="Q99" s="117">
        <v>2040</v>
      </c>
      <c r="R99" s="117">
        <v>2041</v>
      </c>
      <c r="S99" s="117">
        <v>2042</v>
      </c>
      <c r="T99" s="117">
        <v>2043</v>
      </c>
      <c r="U99" s="117">
        <v>2044</v>
      </c>
      <c r="V99" s="117">
        <v>2045</v>
      </c>
      <c r="W99" s="117">
        <v>2046</v>
      </c>
      <c r="X99" s="117">
        <v>2047</v>
      </c>
      <c r="Y99" s="117">
        <v>2048</v>
      </c>
      <c r="Z99" s="117">
        <v>2049</v>
      </c>
      <c r="AA99" s="117">
        <v>2050</v>
      </c>
      <c r="AB99" s="117">
        <v>2051</v>
      </c>
      <c r="AC99" s="117">
        <v>2052</v>
      </c>
      <c r="AD99" s="117">
        <v>2053</v>
      </c>
      <c r="AE99" s="117">
        <v>2054</v>
      </c>
      <c r="AF99" s="117">
        <v>2055</v>
      </c>
      <c r="AG99" s="117">
        <v>2056</v>
      </c>
      <c r="AH99" s="117">
        <v>2057</v>
      </c>
      <c r="AI99" s="117">
        <v>2058</v>
      </c>
      <c r="AJ99" s="117">
        <v>2059</v>
      </c>
      <c r="AK99" s="117">
        <v>2060</v>
      </c>
    </row>
    <row r="100" spans="1:37" x14ac:dyDescent="0.2">
      <c r="A100" t="s">
        <v>478</v>
      </c>
      <c r="B100" t="s">
        <v>453</v>
      </c>
      <c r="C100" t="s">
        <v>453</v>
      </c>
      <c r="D100">
        <f>Modello!AA5</f>
        <v>0</v>
      </c>
      <c r="E100">
        <f>Modello!AA6</f>
        <v>0</v>
      </c>
      <c r="F100">
        <f>Modello!AA7</f>
        <v>0</v>
      </c>
      <c r="G100">
        <f>Modello!AA8</f>
        <v>0</v>
      </c>
      <c r="H100">
        <f>Modello!AA9</f>
        <v>0</v>
      </c>
      <c r="I100">
        <f>Modello!AA10</f>
        <v>0</v>
      </c>
      <c r="J100">
        <f>Modello!AA11</f>
        <v>0</v>
      </c>
      <c r="K100">
        <f>Modello!AA12</f>
        <v>0</v>
      </c>
      <c r="L100">
        <f>Modello!AA13</f>
        <v>0</v>
      </c>
      <c r="M100">
        <f>Modello!AA14</f>
        <v>0</v>
      </c>
      <c r="N100">
        <f>Modello!AA15</f>
        <v>0</v>
      </c>
      <c r="O100">
        <f>Modello!AA16</f>
        <v>0</v>
      </c>
      <c r="P100">
        <f>Modello!AA17</f>
        <v>0</v>
      </c>
      <c r="Q100">
        <f>Modello!AA18</f>
        <v>0</v>
      </c>
      <c r="R100">
        <f>Modello!AA19</f>
        <v>0</v>
      </c>
      <c r="S100">
        <f>Modello!AA20</f>
        <v>0</v>
      </c>
      <c r="T100">
        <f>Modello!AA21</f>
        <v>0</v>
      </c>
      <c r="U100">
        <f>Modello!AA22</f>
        <v>0</v>
      </c>
      <c r="V100">
        <f>Modello!AA23</f>
        <v>0</v>
      </c>
      <c r="W100">
        <f>Modello!AA24</f>
        <v>0</v>
      </c>
      <c r="X100">
        <f>Modello!AA25</f>
        <v>0</v>
      </c>
      <c r="Y100">
        <f>Modello!AA26</f>
        <v>0</v>
      </c>
      <c r="Z100">
        <f>Modello!AA27</f>
        <v>0</v>
      </c>
      <c r="AA100">
        <f>Modello!AA28</f>
        <v>0</v>
      </c>
      <c r="AB100">
        <f>Modello!AA29</f>
        <v>0</v>
      </c>
      <c r="AC100">
        <f>Modello!AA30</f>
        <v>0</v>
      </c>
      <c r="AD100">
        <f>Modello!AA31</f>
        <v>0</v>
      </c>
      <c r="AE100">
        <f>Modello!AA32</f>
        <v>0</v>
      </c>
      <c r="AF100">
        <f>Modello!AA33</f>
        <v>0</v>
      </c>
      <c r="AG100">
        <f>Modello!AA34</f>
        <v>0</v>
      </c>
      <c r="AH100">
        <f>Modello!AA35</f>
        <v>0</v>
      </c>
      <c r="AI100">
        <f>Modello!AA36</f>
        <v>0</v>
      </c>
      <c r="AJ100">
        <f>Modello!AA37</f>
        <v>0</v>
      </c>
      <c r="AK100">
        <f>Modello!AA38</f>
        <v>0</v>
      </c>
    </row>
    <row r="101" spans="1:37" x14ac:dyDescent="0.2">
      <c r="A101" t="s">
        <v>479</v>
      </c>
      <c r="B101" t="s">
        <v>453</v>
      </c>
      <c r="C101" t="s">
        <v>453</v>
      </c>
      <c r="D101">
        <f>SUM(Modello!AA$5:AA5)</f>
        <v>0</v>
      </c>
      <c r="E101">
        <f>SUM(Modello!AA$5:AA6)</f>
        <v>0</v>
      </c>
      <c r="F101">
        <f>SUM(Modello!AA$5:AA7)</f>
        <v>0</v>
      </c>
      <c r="G101">
        <f>SUM(Modello!AA$5:AA8)</f>
        <v>0</v>
      </c>
      <c r="H101">
        <f>SUM(Modello!AA$5:AA9)</f>
        <v>0</v>
      </c>
      <c r="I101">
        <f>SUM(Modello!AA$5:AA10)</f>
        <v>0</v>
      </c>
      <c r="J101">
        <f>SUM(Modello!AA$5:AA11)</f>
        <v>0</v>
      </c>
      <c r="K101">
        <f>SUM(Modello!AA$5:AA12)</f>
        <v>0</v>
      </c>
      <c r="L101">
        <f>SUM(Modello!AA$5:AA13)</f>
        <v>0</v>
      </c>
      <c r="M101">
        <f>SUM(Modello!AA$5:AA14)</f>
        <v>0</v>
      </c>
      <c r="N101">
        <f>SUM(Modello!AA$5:AA15)</f>
        <v>0</v>
      </c>
      <c r="O101">
        <f>SUM(Modello!AA$5:AA16)</f>
        <v>0</v>
      </c>
      <c r="P101">
        <f>SUM(Modello!AA$5:AA17)</f>
        <v>0</v>
      </c>
      <c r="Q101">
        <f>SUM(Modello!AA$5:AA18)</f>
        <v>0</v>
      </c>
      <c r="R101">
        <f>SUM(Modello!AA$5:AA19)</f>
        <v>0</v>
      </c>
      <c r="S101">
        <f>SUM(Modello!AA$5:AA20)</f>
        <v>0</v>
      </c>
      <c r="T101">
        <f>SUM(Modello!AA$5:AA21)</f>
        <v>0</v>
      </c>
      <c r="U101">
        <f>SUM(Modello!AA$5:AA22)</f>
        <v>0</v>
      </c>
      <c r="V101">
        <f>SUM(Modello!AA$5:AA23)</f>
        <v>0</v>
      </c>
      <c r="W101">
        <f>SUM(Modello!AA$5:AA24)</f>
        <v>0</v>
      </c>
      <c r="X101">
        <f>SUM(Modello!AA$5:AA25)</f>
        <v>0</v>
      </c>
      <c r="Y101">
        <f>SUM(Modello!AA$5:AA26)</f>
        <v>0</v>
      </c>
      <c r="Z101">
        <f>SUM(Modello!AA$5:AA27)</f>
        <v>0</v>
      </c>
      <c r="AA101">
        <f>SUM(Modello!AA$5:AA28)</f>
        <v>0</v>
      </c>
      <c r="AB101">
        <f>SUM(Modello!AA$5:AA29)</f>
        <v>0</v>
      </c>
      <c r="AC101">
        <f>SUM(Modello!AA$5:AA30)</f>
        <v>0</v>
      </c>
      <c r="AD101">
        <f>SUM(Modello!AA$5:AA31)</f>
        <v>0</v>
      </c>
      <c r="AE101">
        <f>SUM(Modello!AA$5:AA32)</f>
        <v>0</v>
      </c>
      <c r="AF101">
        <f>SUM(Modello!AA$5:AA33)</f>
        <v>0</v>
      </c>
      <c r="AG101">
        <f>SUM(Modello!AA$5:AA34)</f>
        <v>0</v>
      </c>
      <c r="AH101">
        <f>SUM(Modello!AA$5:AA35)</f>
        <v>0</v>
      </c>
      <c r="AI101">
        <f>SUM(Modello!AA$5:AA36)</f>
        <v>0</v>
      </c>
      <c r="AJ101">
        <f>SUM(Modello!AA$5:AA37)</f>
        <v>0</v>
      </c>
      <c r="AK101">
        <f>SUM(Modello!AA$5:AA38)</f>
        <v>0</v>
      </c>
    </row>
    <row r="102" spans="1:37" x14ac:dyDescent="0.2">
      <c r="A102" t="s">
        <v>480</v>
      </c>
      <c r="B102">
        <f>Parametri!$B$161</f>
        <v>0.02</v>
      </c>
      <c r="C102" t="s">
        <v>453</v>
      </c>
      <c r="D102">
        <f>Parametri!$B$161*D101</f>
        <v>0</v>
      </c>
      <c r="E102">
        <f>Parametri!$B$161*E101</f>
        <v>0</v>
      </c>
      <c r="F102">
        <f>Parametri!$B$161*F101</f>
        <v>0</v>
      </c>
      <c r="G102">
        <f>Parametri!$B$161*G101</f>
        <v>0</v>
      </c>
      <c r="H102">
        <f>Parametri!$B$161*H101</f>
        <v>0</v>
      </c>
      <c r="I102">
        <f>Parametri!$B$161*I101</f>
        <v>0</v>
      </c>
      <c r="J102">
        <f>Parametri!$B$161*J101</f>
        <v>0</v>
      </c>
      <c r="K102">
        <f>Parametri!$B$161*K101</f>
        <v>0</v>
      </c>
      <c r="L102">
        <f>Parametri!$B$161*L101</f>
        <v>0</v>
      </c>
      <c r="M102">
        <f>Parametri!$B$161*M101</f>
        <v>0</v>
      </c>
      <c r="N102">
        <f>Parametri!$B$161*N101</f>
        <v>0</v>
      </c>
      <c r="O102">
        <f>Parametri!$B$161*O101</f>
        <v>0</v>
      </c>
      <c r="P102">
        <f>Parametri!$B$161*P101</f>
        <v>0</v>
      </c>
      <c r="Q102">
        <f>Parametri!$B$161*Q101</f>
        <v>0</v>
      </c>
      <c r="R102">
        <f>Parametri!$B$161*R101</f>
        <v>0</v>
      </c>
      <c r="S102">
        <f>Parametri!$B$161*S101</f>
        <v>0</v>
      </c>
      <c r="T102">
        <f>Parametri!$B$161*T101</f>
        <v>0</v>
      </c>
      <c r="U102">
        <f>Parametri!$B$161*U101</f>
        <v>0</v>
      </c>
      <c r="V102">
        <f>Parametri!$B$161*V101</f>
        <v>0</v>
      </c>
      <c r="W102">
        <f>Parametri!$B$161*W101</f>
        <v>0</v>
      </c>
      <c r="X102">
        <f>Parametri!$B$161*X101</f>
        <v>0</v>
      </c>
      <c r="Y102">
        <f>Parametri!$B$161*Y101</f>
        <v>0</v>
      </c>
      <c r="Z102">
        <f>Parametri!$B$161*Z101</f>
        <v>0</v>
      </c>
      <c r="AA102">
        <f>Parametri!$B$161*AA101</f>
        <v>0</v>
      </c>
      <c r="AB102">
        <f>Parametri!$B$161*AB101</f>
        <v>0</v>
      </c>
      <c r="AC102">
        <f>Parametri!$B$161*AC101</f>
        <v>0</v>
      </c>
      <c r="AD102">
        <f>Parametri!$B$161*AD101</f>
        <v>0</v>
      </c>
      <c r="AE102">
        <f>Parametri!$B$161*AE101</f>
        <v>0</v>
      </c>
      <c r="AF102">
        <f>Parametri!$B$161*AF101</f>
        <v>0</v>
      </c>
      <c r="AG102">
        <f>Parametri!$B$161*AG101</f>
        <v>0</v>
      </c>
      <c r="AH102">
        <f>Parametri!$B$161*AH101</f>
        <v>0</v>
      </c>
      <c r="AI102">
        <f>Parametri!$B$161*AI101</f>
        <v>0</v>
      </c>
      <c r="AJ102">
        <f>Parametri!$B$161*AJ101</f>
        <v>0</v>
      </c>
      <c r="AK102">
        <f>Parametri!$B$161*AK101</f>
        <v>0</v>
      </c>
    </row>
    <row r="103" spans="1:37" x14ac:dyDescent="0.2">
      <c r="A103" t="s">
        <v>481</v>
      </c>
      <c r="B103" t="s">
        <v>453</v>
      </c>
      <c r="C103" t="s">
        <v>453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f>Modello!AA5</f>
        <v>0</v>
      </c>
      <c r="T103">
        <f>Modello!AA6</f>
        <v>0</v>
      </c>
      <c r="U103">
        <f>Modello!AA7</f>
        <v>0</v>
      </c>
      <c r="V103">
        <f>Modello!AA8</f>
        <v>0</v>
      </c>
      <c r="W103">
        <f>Modello!AA9</f>
        <v>0</v>
      </c>
      <c r="X103">
        <f>Modello!AA10</f>
        <v>0</v>
      </c>
      <c r="Y103">
        <f>Modello!AA11</f>
        <v>0</v>
      </c>
      <c r="Z103">
        <f>Modello!AA12</f>
        <v>0</v>
      </c>
      <c r="AA103">
        <f>Modello!AA13</f>
        <v>0</v>
      </c>
      <c r="AB103">
        <f>Modello!AA14</f>
        <v>0</v>
      </c>
      <c r="AC103">
        <f>Modello!AA15</f>
        <v>0</v>
      </c>
      <c r="AD103">
        <f>Modello!AA16</f>
        <v>0</v>
      </c>
      <c r="AE103">
        <f>Modello!AA17</f>
        <v>0</v>
      </c>
      <c r="AF103">
        <f>Modello!AA18</f>
        <v>0</v>
      </c>
      <c r="AG103">
        <f>Modello!AA19</f>
        <v>0</v>
      </c>
      <c r="AH103">
        <f>Modello!AA20</f>
        <v>0</v>
      </c>
      <c r="AI103">
        <f>Modello!AA21</f>
        <v>0</v>
      </c>
      <c r="AJ103">
        <f>Modello!AA22</f>
        <v>0</v>
      </c>
      <c r="AK103">
        <f>Modello!AA23</f>
        <v>0</v>
      </c>
    </row>
    <row r="104" spans="1:37" x14ac:dyDescent="0.2">
      <c r="A104" t="s">
        <v>482</v>
      </c>
      <c r="B104" t="s">
        <v>453</v>
      </c>
      <c r="C104" t="s">
        <v>453</v>
      </c>
      <c r="D104">
        <f>D102</f>
        <v>0</v>
      </c>
      <c r="E104">
        <f t="shared" ref="E104:AK104" si="25">D104+E102</f>
        <v>0</v>
      </c>
      <c r="F104">
        <f t="shared" si="25"/>
        <v>0</v>
      </c>
      <c r="G104">
        <f t="shared" si="25"/>
        <v>0</v>
      </c>
      <c r="H104">
        <f t="shared" si="25"/>
        <v>0</v>
      </c>
      <c r="I104">
        <f t="shared" si="25"/>
        <v>0</v>
      </c>
      <c r="J104">
        <f t="shared" si="25"/>
        <v>0</v>
      </c>
      <c r="K104">
        <f t="shared" si="25"/>
        <v>0</v>
      </c>
      <c r="L104">
        <f t="shared" si="25"/>
        <v>0</v>
      </c>
      <c r="M104">
        <f t="shared" si="25"/>
        <v>0</v>
      </c>
      <c r="N104">
        <f t="shared" si="25"/>
        <v>0</v>
      </c>
      <c r="O104">
        <f t="shared" si="25"/>
        <v>0</v>
      </c>
      <c r="P104">
        <f t="shared" si="25"/>
        <v>0</v>
      </c>
      <c r="Q104">
        <f t="shared" si="25"/>
        <v>0</v>
      </c>
      <c r="R104">
        <f t="shared" si="25"/>
        <v>0</v>
      </c>
      <c r="S104">
        <f t="shared" si="25"/>
        <v>0</v>
      </c>
      <c r="T104">
        <f t="shared" si="25"/>
        <v>0</v>
      </c>
      <c r="U104">
        <f t="shared" si="25"/>
        <v>0</v>
      </c>
      <c r="V104">
        <f t="shared" si="25"/>
        <v>0</v>
      </c>
      <c r="W104">
        <f t="shared" si="25"/>
        <v>0</v>
      </c>
      <c r="X104">
        <f t="shared" si="25"/>
        <v>0</v>
      </c>
      <c r="Y104">
        <f t="shared" si="25"/>
        <v>0</v>
      </c>
      <c r="Z104">
        <f t="shared" si="25"/>
        <v>0</v>
      </c>
      <c r="AA104">
        <f t="shared" si="25"/>
        <v>0</v>
      </c>
      <c r="AB104">
        <f t="shared" si="25"/>
        <v>0</v>
      </c>
      <c r="AC104">
        <f t="shared" si="25"/>
        <v>0</v>
      </c>
      <c r="AD104">
        <f t="shared" si="25"/>
        <v>0</v>
      </c>
      <c r="AE104">
        <f t="shared" si="25"/>
        <v>0</v>
      </c>
      <c r="AF104">
        <f t="shared" si="25"/>
        <v>0</v>
      </c>
      <c r="AG104">
        <f t="shared" si="25"/>
        <v>0</v>
      </c>
      <c r="AH104">
        <f t="shared" si="25"/>
        <v>0</v>
      </c>
      <c r="AI104">
        <f t="shared" si="25"/>
        <v>0</v>
      </c>
      <c r="AJ104">
        <f t="shared" si="25"/>
        <v>0</v>
      </c>
      <c r="AK104">
        <f t="shared" si="25"/>
        <v>0</v>
      </c>
    </row>
    <row r="105" spans="1:37" x14ac:dyDescent="0.2">
      <c r="A105" t="s">
        <v>483</v>
      </c>
      <c r="B105" t="s">
        <v>453</v>
      </c>
      <c r="C105" t="s">
        <v>453</v>
      </c>
      <c r="D105">
        <f t="shared" ref="D105:AK105" si="26">D102+D103</f>
        <v>0</v>
      </c>
      <c r="E105">
        <f t="shared" si="26"/>
        <v>0</v>
      </c>
      <c r="F105">
        <f t="shared" si="26"/>
        <v>0</v>
      </c>
      <c r="G105">
        <f t="shared" si="26"/>
        <v>0</v>
      </c>
      <c r="H105">
        <f t="shared" si="26"/>
        <v>0</v>
      </c>
      <c r="I105">
        <f t="shared" si="26"/>
        <v>0</v>
      </c>
      <c r="J105">
        <f t="shared" si="26"/>
        <v>0</v>
      </c>
      <c r="K105">
        <f t="shared" si="26"/>
        <v>0</v>
      </c>
      <c r="L105">
        <f t="shared" si="26"/>
        <v>0</v>
      </c>
      <c r="M105">
        <f t="shared" si="26"/>
        <v>0</v>
      </c>
      <c r="N105">
        <f t="shared" si="26"/>
        <v>0</v>
      </c>
      <c r="O105">
        <f t="shared" si="26"/>
        <v>0</v>
      </c>
      <c r="P105">
        <f t="shared" si="26"/>
        <v>0</v>
      </c>
      <c r="Q105">
        <f t="shared" si="26"/>
        <v>0</v>
      </c>
      <c r="R105">
        <f t="shared" si="26"/>
        <v>0</v>
      </c>
      <c r="S105">
        <f t="shared" si="26"/>
        <v>0</v>
      </c>
      <c r="T105">
        <f t="shared" si="26"/>
        <v>0</v>
      </c>
      <c r="U105">
        <f t="shared" si="26"/>
        <v>0</v>
      </c>
      <c r="V105">
        <f t="shared" si="26"/>
        <v>0</v>
      </c>
      <c r="W105">
        <f t="shared" si="26"/>
        <v>0</v>
      </c>
      <c r="X105">
        <f t="shared" si="26"/>
        <v>0</v>
      </c>
      <c r="Y105">
        <f t="shared" si="26"/>
        <v>0</v>
      </c>
      <c r="Z105">
        <f t="shared" si="26"/>
        <v>0</v>
      </c>
      <c r="AA105">
        <f t="shared" si="26"/>
        <v>0</v>
      </c>
      <c r="AB105">
        <f t="shared" si="26"/>
        <v>0</v>
      </c>
      <c r="AC105">
        <f t="shared" si="26"/>
        <v>0</v>
      </c>
      <c r="AD105">
        <f t="shared" si="26"/>
        <v>0</v>
      </c>
      <c r="AE105">
        <f t="shared" si="26"/>
        <v>0</v>
      </c>
      <c r="AF105">
        <f t="shared" si="26"/>
        <v>0</v>
      </c>
      <c r="AG105">
        <f t="shared" si="26"/>
        <v>0</v>
      </c>
      <c r="AH105">
        <f t="shared" si="26"/>
        <v>0</v>
      </c>
      <c r="AI105">
        <f t="shared" si="26"/>
        <v>0</v>
      </c>
      <c r="AJ105">
        <f t="shared" si="26"/>
        <v>0</v>
      </c>
      <c r="AK105">
        <f t="shared" si="26"/>
        <v>0</v>
      </c>
    </row>
    <row r="106" spans="1:37" x14ac:dyDescent="0.2">
      <c r="A106" t="s">
        <v>484</v>
      </c>
      <c r="B106" t="s">
        <v>453</v>
      </c>
      <c r="C106" t="s">
        <v>453</v>
      </c>
      <c r="D106">
        <f>Modello!AB5-D101</f>
        <v>3.0838500000000004</v>
      </c>
      <c r="E106">
        <f>Modello!AB6-E101</f>
        <v>6.6853627441920018</v>
      </c>
      <c r="F106">
        <f>Modello!AB7-F101</f>
        <v>10.808349518805688</v>
      </c>
      <c r="G106">
        <f>Modello!AB8-G101</f>
        <v>15.456676553613075</v>
      </c>
      <c r="H106">
        <f>Modello!AB9-H101</f>
        <v>20.634265472578448</v>
      </c>
      <c r="I106">
        <f>Modello!AB10-I101</f>
        <v>26.345093748679211</v>
      </c>
      <c r="J106">
        <f>Modello!AB11-J101</f>
        <v>32.236524745808367</v>
      </c>
      <c r="K106">
        <f>Modello!AB12-K101</f>
        <v>38.309963398811576</v>
      </c>
      <c r="L106">
        <f>Modello!AB13-L101</f>
        <v>44.566833190329838</v>
      </c>
      <c r="M106">
        <f>Modello!AB14-M101</f>
        <v>51.008576302963007</v>
      </c>
      <c r="N106">
        <f>Modello!AB15-N101</f>
        <v>57.636653772819017</v>
      </c>
      <c r="O106">
        <f>Modello!AB16-O101</f>
        <v>64.452545644460088</v>
      </c>
      <c r="P106">
        <f>Modello!AB17-P101</f>
        <v>71.457751127257396</v>
      </c>
      <c r="Q106">
        <f>Modello!AB18-Q101</f>
        <v>78.653788753165685</v>
      </c>
      <c r="R106">
        <f>Modello!AB19-R101</f>
        <v>86.042196535929349</v>
      </c>
      <c r="S106">
        <f>Modello!AB20-S101</f>
        <v>90.540682131731828</v>
      </c>
      <c r="T106">
        <f>Modello!AB21-T101</f>
        <v>94.717010257107859</v>
      </c>
      <c r="U106">
        <f>Modello!AB22-U101</f>
        <v>98.56896705466913</v>
      </c>
      <c r="V106">
        <f>Modello!AB23-V101</f>
        <v>102.09430385664965</v>
      </c>
      <c r="W106">
        <f>Modello!AB24-W101</f>
        <v>105.29073690079696</v>
      </c>
      <c r="X106">
        <f>Modello!AB25-X101</f>
        <v>99.579908624696202</v>
      </c>
      <c r="Y106">
        <f>Modello!AB26-Y101</f>
        <v>93.688477627567039</v>
      </c>
      <c r="Z106">
        <f>Modello!AB27-Z101</f>
        <v>87.615038974563831</v>
      </c>
      <c r="AA106">
        <f>Modello!AB28-AA101</f>
        <v>81.358169183045561</v>
      </c>
      <c r="AB106">
        <f>Modello!AB29-AB101</f>
        <v>74.916426070412399</v>
      </c>
      <c r="AC106">
        <f>Modello!AB30-AC101</f>
        <v>68.28834860055639</v>
      </c>
      <c r="AD106">
        <f>Modello!AB31-AD101</f>
        <v>61.472456728915319</v>
      </c>
      <c r="AE106">
        <f>Modello!AB32-AE101</f>
        <v>54.46725124611801</v>
      </c>
      <c r="AF106">
        <f>Modello!AB33-AF101</f>
        <v>47.271213620209721</v>
      </c>
      <c r="AG106">
        <f>Modello!AB34-AG101</f>
        <v>39.882805837446057</v>
      </c>
      <c r="AH106">
        <f>Modello!AB35-AH101</f>
        <v>32.30047024164358</v>
      </c>
      <c r="AI106">
        <f>Modello!AB36-AI101</f>
        <v>24.522629372075542</v>
      </c>
      <c r="AJ106">
        <f>Modello!AB37-AJ101</f>
        <v>16.547685799900592</v>
      </c>
      <c r="AK106">
        <f>Modello!AB38-AK101</f>
        <v>8.374021963112682</v>
      </c>
    </row>
    <row r="107" spans="1:37" x14ac:dyDescent="0.2">
      <c r="A107" t="s">
        <v>485</v>
      </c>
      <c r="B107" t="s">
        <v>453</v>
      </c>
      <c r="C107" t="s">
        <v>453</v>
      </c>
      <c r="D107">
        <f>IFERROR(D101/Modello!AB5,0)</f>
        <v>0</v>
      </c>
      <c r="E107">
        <f>IFERROR(E101/Modello!AB6,0)</f>
        <v>0</v>
      </c>
      <c r="F107">
        <f>IFERROR(F101/Modello!AB7,0)</f>
        <v>0</v>
      </c>
      <c r="G107">
        <f>IFERROR(G101/Modello!AB8,0)</f>
        <v>0</v>
      </c>
      <c r="H107">
        <f>IFERROR(H101/Modello!AB9,0)</f>
        <v>0</v>
      </c>
      <c r="I107">
        <f>IFERROR(I101/Modello!AB10,0)</f>
        <v>0</v>
      </c>
      <c r="J107">
        <f>IFERROR(J101/Modello!AB11,0)</f>
        <v>0</v>
      </c>
      <c r="K107">
        <f>IFERROR(K101/Modello!AB12,0)</f>
        <v>0</v>
      </c>
      <c r="L107">
        <f>IFERROR(L101/Modello!AB13,0)</f>
        <v>0</v>
      </c>
      <c r="M107">
        <f>IFERROR(M101/Modello!AB14,0)</f>
        <v>0</v>
      </c>
      <c r="N107">
        <f>IFERROR(N101/Modello!AB15,0)</f>
        <v>0</v>
      </c>
      <c r="O107">
        <f>IFERROR(O101/Modello!AB16,0)</f>
        <v>0</v>
      </c>
      <c r="P107">
        <f>IFERROR(P101/Modello!AB17,0)</f>
        <v>0</v>
      </c>
      <c r="Q107">
        <f>IFERROR(Q101/Modello!AB18,0)</f>
        <v>0</v>
      </c>
      <c r="R107">
        <f>IFERROR(R101/Modello!AB19,0)</f>
        <v>0</v>
      </c>
      <c r="S107">
        <f>IFERROR(S101/Modello!AB20,0)</f>
        <v>0</v>
      </c>
      <c r="T107">
        <f>IFERROR(T101/Modello!AB21,0)</f>
        <v>0</v>
      </c>
      <c r="U107">
        <f>IFERROR(U101/Modello!AB22,0)</f>
        <v>0</v>
      </c>
      <c r="V107">
        <f>IFERROR(V101/Modello!AB23,0)</f>
        <v>0</v>
      </c>
      <c r="W107">
        <f>IFERROR(W101/Modello!AB24,0)</f>
        <v>0</v>
      </c>
      <c r="X107">
        <f>IFERROR(X101/Modello!AB25,0)</f>
        <v>0</v>
      </c>
      <c r="Y107">
        <f>IFERROR(Y101/Modello!AB26,0)</f>
        <v>0</v>
      </c>
      <c r="Z107">
        <f>IFERROR(Z101/Modello!AB27,0)</f>
        <v>0</v>
      </c>
      <c r="AA107">
        <f>IFERROR(AA101/Modello!AB28,0)</f>
        <v>0</v>
      </c>
      <c r="AB107">
        <f>IFERROR(AB101/Modello!AB29,0)</f>
        <v>0</v>
      </c>
      <c r="AC107">
        <f>IFERROR(AC101/Modello!AB30,0)</f>
        <v>0</v>
      </c>
      <c r="AD107">
        <f>IFERROR(AD101/Modello!AB31,0)</f>
        <v>0</v>
      </c>
      <c r="AE107">
        <f>IFERROR(AE101/Modello!AB32,0)</f>
        <v>0</v>
      </c>
      <c r="AF107">
        <f>IFERROR(AF101/Modello!AB33,0)</f>
        <v>0</v>
      </c>
      <c r="AG107">
        <f>IFERROR(AG101/Modello!AB34,0)</f>
        <v>0</v>
      </c>
      <c r="AH107">
        <f>IFERROR(AH101/Modello!AB35,0)</f>
        <v>0</v>
      </c>
      <c r="AI107">
        <f>IFERROR(AI101/Modello!AB36,0)</f>
        <v>0</v>
      </c>
      <c r="AJ107">
        <f>IFERROR(AJ101/Modello!AB37,0)</f>
        <v>0</v>
      </c>
      <c r="AK107">
        <f>IFERROR(AK101/Modello!AB38,0)</f>
        <v>0</v>
      </c>
    </row>
    <row r="108" spans="1:37" x14ac:dyDescent="0.2">
      <c r="A108" t="s">
        <v>486</v>
      </c>
      <c r="B108" t="s">
        <v>453</v>
      </c>
      <c r="C108" t="s">
        <v>453</v>
      </c>
      <c r="D108">
        <f>-Modello!AC5</f>
        <v>4.6257750000000007E-2</v>
      </c>
      <c r="E108">
        <f>-Modello!AC6</f>
        <v>0.10028044116288003</v>
      </c>
      <c r="F108">
        <f>-Modello!AC7</f>
        <v>0.16212524278208532</v>
      </c>
      <c r="G108">
        <f>-Modello!AC8</f>
        <v>0.23185014830419612</v>
      </c>
      <c r="H108">
        <f>-Modello!AC9</f>
        <v>0.3095139820886767</v>
      </c>
      <c r="I108">
        <f>-Modello!AC10</f>
        <v>0.39517640623018818</v>
      </c>
      <c r="J108">
        <f>-Modello!AC11</f>
        <v>0.4835478711871255</v>
      </c>
      <c r="K108">
        <f>-Modello!AC12</f>
        <v>0.57464945098217357</v>
      </c>
      <c r="L108">
        <f>-Modello!AC13</f>
        <v>0.66850249785494753</v>
      </c>
      <c r="M108">
        <f>-Modello!AC14</f>
        <v>0.76512864454444507</v>
      </c>
      <c r="N108">
        <f>-Modello!AC15</f>
        <v>0.8645498065922852</v>
      </c>
      <c r="O108">
        <f>-Modello!AC16</f>
        <v>0.96678818466690131</v>
      </c>
      <c r="P108">
        <f>-Modello!AC17</f>
        <v>1.071866266908861</v>
      </c>
      <c r="Q108">
        <f>-Modello!AC18</f>
        <v>1.1798068312974852</v>
      </c>
      <c r="R108">
        <f>-Modello!AC19</f>
        <v>1.2906329480389402</v>
      </c>
      <c r="S108">
        <f>-Modello!AC20</f>
        <v>1.4043679819759773</v>
      </c>
      <c r="T108">
        <f>-Modello!AC21</f>
        <v>1.5210355950194978</v>
      </c>
      <c r="U108">
        <f>-Modello!AC22</f>
        <v>1.6406597486021222</v>
      </c>
      <c r="V108">
        <f>-Modello!AC23</f>
        <v>1.7632647061539408</v>
      </c>
      <c r="W108">
        <f>-Modello!AC24</f>
        <v>1.888875035600631</v>
      </c>
      <c r="X108">
        <f>-Modello!AC25</f>
        <v>1.888875035600631</v>
      </c>
      <c r="Y108">
        <f>-Modello!AC26</f>
        <v>1.888875035600631</v>
      </c>
      <c r="Z108">
        <f>-Modello!AC27</f>
        <v>1.888875035600631</v>
      </c>
      <c r="AA108">
        <f>-Modello!AC28</f>
        <v>1.888875035600631</v>
      </c>
      <c r="AB108">
        <f>-Modello!AC29</f>
        <v>1.888875035600631</v>
      </c>
      <c r="AC108">
        <f>-Modello!AC30</f>
        <v>1.888875035600631</v>
      </c>
      <c r="AD108">
        <f>-Modello!AC31</f>
        <v>1.888875035600631</v>
      </c>
      <c r="AE108">
        <f>-Modello!AC32</f>
        <v>1.888875035600631</v>
      </c>
      <c r="AF108">
        <f>-Modello!AC33</f>
        <v>1.888875035600631</v>
      </c>
      <c r="AG108">
        <f>-Modello!AC34</f>
        <v>1.888875035600631</v>
      </c>
      <c r="AH108">
        <f>-Modello!AC35</f>
        <v>1.888875035600631</v>
      </c>
      <c r="AI108">
        <f>-Modello!AC36</f>
        <v>1.888875035600631</v>
      </c>
      <c r="AJ108">
        <f>-Modello!AC37</f>
        <v>1.888875035600631</v>
      </c>
      <c r="AK108">
        <f>-Modello!AC38</f>
        <v>1.888875035600631</v>
      </c>
    </row>
  </sheetData>
  <pageMargins left="0.75" right="0.75" top="1" bottom="1" header="0.511811023622047" footer="0.511811023622047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8"/>
  <sheetViews>
    <sheetView topLeftCell="U1" zoomScaleNormal="100" workbookViewId="0">
      <selection activeCell="AH15" sqref="AH15"/>
    </sheetView>
  </sheetViews>
  <sheetFormatPr baseColWidth="10" defaultColWidth="8.83203125" defaultRowHeight="15" x14ac:dyDescent="0.2"/>
  <cols>
    <col min="1" max="1" width="7" customWidth="1"/>
    <col min="2" max="2" width="5" customWidth="1"/>
    <col min="3" max="3" width="18" customWidth="1"/>
    <col min="4" max="4" width="14.6640625" customWidth="1"/>
    <col min="5" max="5" width="11.33203125" customWidth="1"/>
    <col min="6" max="6" width="13.33203125" customWidth="1"/>
    <col min="7" max="7" width="14.33203125" customWidth="1"/>
    <col min="8" max="8" width="18.5" customWidth="1"/>
    <col min="9" max="9" width="19.1640625" customWidth="1"/>
    <col min="10" max="10" width="13.6640625" customWidth="1"/>
    <col min="11" max="11" width="11" customWidth="1"/>
    <col min="12" max="12" width="9" customWidth="1"/>
    <col min="13" max="13" width="13" customWidth="1"/>
    <col min="14" max="16" width="11.6640625" customWidth="1"/>
    <col min="17" max="19" width="15" customWidth="1"/>
    <col min="20" max="21" width="16.83203125" customWidth="1"/>
    <col min="22" max="22" width="11.5" customWidth="1"/>
    <col min="23" max="23" width="14.5" customWidth="1"/>
    <col min="24" max="25" width="11.83203125" customWidth="1"/>
    <col min="26" max="27" width="16.6640625" customWidth="1"/>
    <col min="28" max="28" width="14.1640625" customWidth="1"/>
    <col min="29" max="29" width="13.33203125" customWidth="1"/>
    <col min="30" max="30" width="13.1640625" customWidth="1"/>
    <col min="31" max="31" width="16" customWidth="1"/>
    <col min="32" max="32" width="14.83203125" customWidth="1"/>
    <col min="33" max="33" width="11" customWidth="1"/>
  </cols>
  <sheetData>
    <row r="1" spans="1:35" ht="16.5" customHeight="1" x14ac:dyDescent="0.2">
      <c r="A1" s="182" t="s">
        <v>487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</row>
    <row r="2" spans="1:35" ht="15" customHeight="1" x14ac:dyDescent="0.2">
      <c r="A2" s="184" t="s">
        <v>488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</row>
    <row r="3" spans="1:35" ht="15" customHeight="1" x14ac:dyDescent="0.2">
      <c r="T3" s="14"/>
      <c r="W3" s="24" t="s">
        <v>354</v>
      </c>
    </row>
    <row r="4" spans="1:35" ht="39.75" customHeight="1" x14ac:dyDescent="0.2">
      <c r="A4" s="1" t="s">
        <v>355</v>
      </c>
      <c r="B4" s="1" t="s">
        <v>356</v>
      </c>
      <c r="C4" s="1" t="s">
        <v>357</v>
      </c>
      <c r="D4" s="1" t="s">
        <v>358</v>
      </c>
      <c r="E4" s="1" t="s">
        <v>359</v>
      </c>
      <c r="F4" s="1" t="s">
        <v>360</v>
      </c>
      <c r="G4" s="1" t="s">
        <v>361</v>
      </c>
      <c r="H4" s="1" t="s">
        <v>362</v>
      </c>
      <c r="I4" s="1" t="s">
        <v>363</v>
      </c>
      <c r="J4" s="1" t="s">
        <v>364</v>
      </c>
      <c r="K4" s="1" t="s">
        <v>365</v>
      </c>
      <c r="L4" s="1" t="s">
        <v>366</v>
      </c>
      <c r="M4" s="1" t="s">
        <v>367</v>
      </c>
      <c r="N4" s="1" t="s">
        <v>368</v>
      </c>
      <c r="O4" s="1" t="s">
        <v>369</v>
      </c>
      <c r="P4" s="1" t="s">
        <v>370</v>
      </c>
      <c r="Q4" s="1" t="s">
        <v>371</v>
      </c>
      <c r="R4" s="1" t="s">
        <v>372</v>
      </c>
      <c r="S4" s="1" t="s">
        <v>373</v>
      </c>
      <c r="T4" s="1" t="s">
        <v>374</v>
      </c>
      <c r="U4" s="25" t="s">
        <v>375</v>
      </c>
      <c r="V4" s="25" t="s">
        <v>376</v>
      </c>
      <c r="W4" s="1" t="s">
        <v>377</v>
      </c>
      <c r="X4" s="1" t="s">
        <v>378</v>
      </c>
      <c r="Y4" s="1" t="s">
        <v>379</v>
      </c>
      <c r="Z4" s="25" t="s">
        <v>380</v>
      </c>
      <c r="AA4" s="1" t="s">
        <v>381</v>
      </c>
      <c r="AB4" s="26" t="s">
        <v>382</v>
      </c>
      <c r="AC4" s="26" t="s">
        <v>383</v>
      </c>
      <c r="AD4" s="26" t="s">
        <v>384</v>
      </c>
      <c r="AE4" s="1" t="s">
        <v>385</v>
      </c>
      <c r="AF4" s="1" t="s">
        <v>386</v>
      </c>
      <c r="AG4" s="1" t="s">
        <v>387</v>
      </c>
      <c r="AH4" s="26" t="s">
        <v>388</v>
      </c>
      <c r="AI4" s="26" t="s">
        <v>389</v>
      </c>
    </row>
    <row r="5" spans="1:35" ht="15" customHeight="1" x14ac:dyDescent="0.2">
      <c r="A5" s="27">
        <f>Parametri!$B$6+B5</f>
        <v>2027</v>
      </c>
      <c r="B5" s="28">
        <v>0</v>
      </c>
      <c r="C5" s="29">
        <f>Parametri!$B$9</f>
        <v>22.3</v>
      </c>
      <c r="D5" s="29">
        <f>CHOOSE(Parametri!$B$143,Parametri!$B$13,Parametri!$B$13+Parametri!$B$146,Parametri!$B$13+Parametri!$B$146)</f>
        <v>17.5</v>
      </c>
      <c r="E5" s="30">
        <f t="shared" ref="E5:E38" si="0">D5/C5</f>
        <v>0.78475336322869949</v>
      </c>
      <c r="F5" s="31">
        <f>Parametri!$B$19</f>
        <v>2237</v>
      </c>
      <c r="G5" s="32">
        <f>CHOOSE(Parametri!$B$143,Parametri!$B$21,Parametri!$B$155,Parametri!$B$155)</f>
        <v>26700</v>
      </c>
      <c r="H5" s="31">
        <f t="shared" ref="H5:H38" si="1">F5*I5</f>
        <v>357.92</v>
      </c>
      <c r="I5" s="33">
        <f>IF(B5&lt;=(Parametri!$B$35-Parametri!$B$6),Parametri!$B$32+(Parametri!$B$33-Parametri!$B$32)*B5/(Parametri!$B$35-Parametri!$B$6),Parametri!$B$33+(Parametri!$B$34-Parametri!$B$33)*(B5-(Parametri!$B$35-Parametri!$B$6))/(Parametri!$B$36-Parametri!$B$35))</f>
        <v>0.16</v>
      </c>
      <c r="J5" s="31">
        <f t="shared" ref="J5:J38" si="2">H5-AE5</f>
        <v>348.56105440000005</v>
      </c>
      <c r="K5" s="33">
        <f t="shared" ref="K5:K38" si="3">J5/F5</f>
        <v>0.15581629611086278</v>
      </c>
      <c r="L5" s="33">
        <f>IF(B5&lt;=5,Parametri!$B$58+(Parametri!$B$59-Parametri!$B$58)/5*B5,MIN(Parametri!$B$60,Parametri!$B$59+(Parametri!$B$60-Parametri!$B$59)/24*(B5-5)))</f>
        <v>0.33</v>
      </c>
      <c r="M5" s="29">
        <f t="shared" ref="M5:M38" si="4">L5*D5</f>
        <v>5.7750000000000004</v>
      </c>
      <c r="N5" s="34">
        <f>IF(B5&lt;Parametri!$B$76,Parametri!$B$75*Parametri!$B$74*Parametri!$B$73/Parametri!$B$76,0)</f>
        <v>2.44</v>
      </c>
      <c r="O5" s="35">
        <f>IF(B5&lt;10,Parametri!$B$53,IF(B5&lt;20,Parametri!$B$56,Parametri!$B$57))*M5*G5*Parametri!$B$72/1000</f>
        <v>1.6652790000000002</v>
      </c>
      <c r="P5" s="35">
        <f>MIN(Parametri!$B$81+Parametri!$B$82,
Parametri!$B$81+Parametri!$B$82*(B5+1)/Parametri!$B$83)</f>
        <v>4.0999999999999996</v>
      </c>
      <c r="Q5" s="35">
        <f>-IF(B5&lt;10,Parametri!$B$51,IF(B5&lt;20,Parametri!$B$54,Parametri!$B$57))*M5*G5/1000</f>
        <v>-9.2515500000000017</v>
      </c>
      <c r="R5" s="35">
        <f t="shared" ref="R5:R38" si="5">-Q5-Z5</f>
        <v>6.1677000000000017</v>
      </c>
      <c r="S5" s="35">
        <f>R5</f>
        <v>6.1677000000000017</v>
      </c>
      <c r="T5" s="36">
        <f>-(Parametri!$B$86*(Parametri!$B$87*Parametri!$B$90+Parametri!$B$88*Parametri!$B$91+Parametri!$B$89*Parametri!$B$92)/1000000000)*MIN(B5+1,Parametri!$B$93)</f>
        <v>-0.57194999999999996</v>
      </c>
      <c r="U5" s="36">
        <f>IF(B5&lt;Parametri!$B$125,Parametri!$B$46,IF(B5&lt;Parametri!$B$126,Parametri!$B$47,Parametri!$B$48))*Parametri!$B$96*13/1000000000*((B5+1)*Parametri!$B$121+B5*(B5+1)/2*Parametri!$B$122)</f>
        <v>0.93957435</v>
      </c>
      <c r="V5" s="35">
        <f>IF(B5&gt;=Parametri!$B$103-1,Parametri!$B$102*(1-Parametri!$B$127)^(B5-(Parametri!$B$103-1)),0)</f>
        <v>6</v>
      </c>
      <c r="W5" s="35">
        <f>IF(B5&gt;=Parametri!$B$105-1,Parametri!$B$104,0)</f>
        <v>0</v>
      </c>
      <c r="X5" s="35">
        <f>IF(B5&gt;=Parametri!$B$107-1,Parametri!$B$106+Parametri!$B$128*INT((B5-(Parametri!$B$107-1))/2),0)</f>
        <v>0</v>
      </c>
      <c r="Y5" s="34">
        <f>IF(AND(B5&gt;=Parametri!$B$109-1,B5&lt;Parametri!$B$109-1+Parametri!$B$140),Parametri!$B$108,0)</f>
        <v>1</v>
      </c>
      <c r="Z5" s="37">
        <f>IF(B5&lt;10,Parametri!$B$52,IF(B5&lt;20,Parametri!$B$55,0))*M5*G5/1000</f>
        <v>3.0838500000000004</v>
      </c>
      <c r="AA5" s="38">
        <f>Parametri!$B$159*Parametri!$B$160</f>
        <v>0</v>
      </c>
      <c r="AB5" s="39">
        <f>SUM(Z$5:Z5)+SUM(AA$5:AA5)</f>
        <v>3.0838500000000004</v>
      </c>
      <c r="AC5" s="40">
        <f>-(Parametri!$B$67*SUM(Z$5:Z5)+Parametri!$B$161*SUM(AA$5:AA5))</f>
        <v>-4.6257750000000007E-2</v>
      </c>
      <c r="AD5" s="39">
        <f>0</f>
        <v>0</v>
      </c>
      <c r="AE5" s="41">
        <f t="shared" ref="AE5:AE38" si="6">Z5+AA5+N5+O5+P5+Q5+T5+U5+V5+W5+X5+Y5+AC5+AD5</f>
        <v>9.3589455999999966</v>
      </c>
      <c r="AF5" s="41">
        <f>AE5</f>
        <v>9.3589455999999966</v>
      </c>
      <c r="AG5" s="42">
        <f t="shared" ref="AG5:AG38" si="7">-AF5/F5</f>
        <v>-4.1837038891372356E-3</v>
      </c>
      <c r="AH5" s="139">
        <f>SUM(Z$5:Z5)</f>
        <v>3.0838500000000004</v>
      </c>
      <c r="AI5" s="139">
        <v>0</v>
      </c>
    </row>
    <row r="6" spans="1:35" ht="15" customHeight="1" x14ac:dyDescent="0.2">
      <c r="A6" s="27">
        <f>Parametri!$B$6+B6</f>
        <v>2028</v>
      </c>
      <c r="B6" s="28">
        <v>1</v>
      </c>
      <c r="C6" s="29">
        <f>C5*(1+Parametri!$B$14)</f>
        <v>22.433800000000002</v>
      </c>
      <c r="D6" s="29">
        <f>D5*(1+Parametri!$B$15)+Parametri!$B$145*(1-Parametri!$B$15)^B5</f>
        <v>17.528500000000001</v>
      </c>
      <c r="E6" s="30">
        <f t="shared" si="0"/>
        <v>0.78134333015360746</v>
      </c>
      <c r="F6" s="31">
        <f>F5*(1+Parametri!$B$129)</f>
        <v>2243.7109999999998</v>
      </c>
      <c r="G6" s="32">
        <f>G5*(1+Parametri!$B$130)</f>
        <v>26700</v>
      </c>
      <c r="H6" s="31">
        <f t="shared" si="1"/>
        <v>360.89228469230767</v>
      </c>
      <c r="I6" s="33">
        <f>IF(B6&lt;=(Parametri!$B$35-Parametri!$B$6),Parametri!$B$32+(Parametri!$B$33-Parametri!$B$32)*B6/(Parametri!$B$35-Parametri!$B$6),Parametri!$B$33+(Parametri!$B$34-Parametri!$B$33)*(B6-(Parametri!$B$35-Parametri!$B$6))/(Parametri!$B$36-Parametri!$B$35))</f>
        <v>0.16084615384615386</v>
      </c>
      <c r="J6" s="31">
        <f t="shared" si="2"/>
        <v>343.52895670890769</v>
      </c>
      <c r="K6" s="33">
        <f t="shared" si="3"/>
        <v>0.15310748875809216</v>
      </c>
      <c r="L6" s="33">
        <f>IF(B6&lt;=5,Parametri!$B$58+(Parametri!$B$59-Parametri!$B$58)/5*B6,MIN(Parametri!$B$60,Parametri!$B$59+(Parametri!$B$60-Parametri!$B$59)/24*(B6-5)))</f>
        <v>0.38400000000000001</v>
      </c>
      <c r="M6" s="29">
        <f t="shared" si="4"/>
        <v>6.7309440000000009</v>
      </c>
      <c r="N6" s="34">
        <f>IF(B6&lt;Parametri!$B$76,Parametri!$B$75*Parametri!$B$74*Parametri!$B$73/Parametri!$B$76,0)</f>
        <v>2.44</v>
      </c>
      <c r="O6" s="35">
        <f>IF(B6&lt;10,Parametri!$B$53,IF(B6&lt;20,Parametri!$B$56,Parametri!$B$57))*M6*G6*Parametri!$B$72/1000</f>
        <v>1.9409350118400004</v>
      </c>
      <c r="P6" s="35">
        <f>MIN(Parametri!$B$81+Parametri!$B$82,
Parametri!$B$81+Parametri!$B$82*(B6+1)/Parametri!$B$83)</f>
        <v>4.7</v>
      </c>
      <c r="Q6" s="35">
        <f>-IF(B6&lt;10,Parametri!$B$51,IF(B6&lt;20,Parametri!$B$54,Parametri!$B$57))*M6*G6/1000</f>
        <v>-10.782972288000002</v>
      </c>
      <c r="R6" s="35">
        <f t="shared" si="5"/>
        <v>7.1886481920000005</v>
      </c>
      <c r="S6" s="35">
        <f t="shared" ref="S6:S38" si="8">S5+R6</f>
        <v>13.356348192000002</v>
      </c>
      <c r="T6" s="36">
        <f>-(Parametri!$B$86*(Parametri!$B$87*Parametri!$B$90+Parametri!$B$88*Parametri!$B$91+Parametri!$B$89*Parametri!$B$92)/1000000000)*MIN(B6+1,Parametri!$B$93)</f>
        <v>-1.1438999999999999</v>
      </c>
      <c r="U6" s="36">
        <f>IF(B6&lt;Parametri!$B$125,Parametri!$B$46,IF(B6&lt;Parametri!$B$126,Parametri!$B$47,Parametri!$B$48))*Parametri!$B$96*13/1000000000*((B6+1)*Parametri!$B$121+B6*(B6+1)/2*Parametri!$B$122)</f>
        <v>2.0551137749999997</v>
      </c>
      <c r="V6" s="35">
        <f>IF(B6&gt;=Parametri!$B$103-1,Parametri!$B$102*(1-Parametri!$B$127)^(B6-(Parametri!$B$103-1)),0)</f>
        <v>5.91</v>
      </c>
      <c r="W6" s="35">
        <f>IF(B6&gt;=Parametri!$B$105-1,Parametri!$B$104,0)</f>
        <v>5</v>
      </c>
      <c r="X6" s="35">
        <f>IF(B6&gt;=Parametri!$B$107-1,Parametri!$B$106+Parametri!$B$128*INT((B6-(Parametri!$B$107-1))/2),0)</f>
        <v>2.75</v>
      </c>
      <c r="Y6" s="34">
        <f>IF(AND(B6&gt;=Parametri!$B$109-1,B6&lt;Parametri!$B$109-1+Parametri!$B$140),Parametri!$B$108,0)</f>
        <v>1</v>
      </c>
      <c r="Z6" s="37">
        <f>IF(B6&lt;10,Parametri!$B$52,IF(B6&lt;20,Parametri!$B$55,0))*M6*G6/1000</f>
        <v>3.5943240960000007</v>
      </c>
      <c r="AA6" s="38">
        <f>Parametri!$B$159*Parametri!$B$160</f>
        <v>0</v>
      </c>
      <c r="AB6" s="39">
        <f>SUM(Z$5:Z6)+SUM(AA$5:AA6)</f>
        <v>6.6781740960000011</v>
      </c>
      <c r="AC6" s="40">
        <f>-(Parametri!$B$67*SUM(Z$5:Z6)+Parametri!$B$161*SUM(AA$5:AA6))</f>
        <v>-0.10017261144000002</v>
      </c>
      <c r="AD6" s="39">
        <f>0</f>
        <v>0</v>
      </c>
      <c r="AE6" s="41">
        <f t="shared" si="6"/>
        <v>17.363327983399998</v>
      </c>
      <c r="AF6" s="41">
        <f t="shared" ref="AF6:AF38" si="9">AF5+AE6</f>
        <v>26.722273583399996</v>
      </c>
      <c r="AG6" s="42">
        <f t="shared" si="7"/>
        <v>-1.1909855406244386E-2</v>
      </c>
      <c r="AH6" s="139">
        <f>SUM(Z$5:Z6)</f>
        <v>6.6781740960000011</v>
      </c>
      <c r="AI6" s="139">
        <v>0</v>
      </c>
    </row>
    <row r="7" spans="1:35" ht="15" customHeight="1" x14ac:dyDescent="0.2">
      <c r="A7" s="27">
        <f>Parametri!$B$6+B7</f>
        <v>2029</v>
      </c>
      <c r="B7" s="28">
        <v>2</v>
      </c>
      <c r="C7" s="29">
        <f>C6*(1+Parametri!$B$14)</f>
        <v>22.568402800000001</v>
      </c>
      <c r="D7" s="29">
        <f>D6*(1+Parametri!$B$15)+Parametri!$B$145*(1-Parametri!$B$15)^B6</f>
        <v>17.557437499999999</v>
      </c>
      <c r="E7" s="30">
        <f t="shared" si="0"/>
        <v>0.77796544379294741</v>
      </c>
      <c r="F7" s="31">
        <f>F6*(1+Parametri!$B$129)</f>
        <v>2250.4421329999996</v>
      </c>
      <c r="G7" s="32">
        <f>G6*(1+Parametri!$B$130)</f>
        <v>26700</v>
      </c>
      <c r="H7" s="31">
        <f t="shared" si="1"/>
        <v>363.87918181276916</v>
      </c>
      <c r="I7" s="33">
        <f>IF(B7&lt;=(Parametri!$B$35-Parametri!$B$6),Parametri!$B$32+(Parametri!$B$33-Parametri!$B$32)*B7/(Parametri!$B$35-Parametri!$B$6),Parametri!$B$33+(Parametri!$B$34-Parametri!$B$33)*(B7-(Parametri!$B$35-Parametri!$B$6))/(Parametri!$B$36-Parametri!$B$35))</f>
        <v>0.16169230769230769</v>
      </c>
      <c r="J7" s="31">
        <f t="shared" si="2"/>
        <v>346.09438880254044</v>
      </c>
      <c r="K7" s="33">
        <f t="shared" si="3"/>
        <v>0.15378950817152182</v>
      </c>
      <c r="L7" s="33">
        <f>IF(B7&lt;=5,Parametri!$B$58+(Parametri!$B$59-Parametri!$B$58)/5*B7,MIN(Parametri!$B$60,Parametri!$B$59+(Parametri!$B$60-Parametri!$B$59)/24*(B7-5)))</f>
        <v>0.438</v>
      </c>
      <c r="M7" s="29">
        <f t="shared" si="4"/>
        <v>7.6901576249999994</v>
      </c>
      <c r="N7" s="34">
        <f>IF(B7&lt;Parametri!$B$76,Parametri!$B$75*Parametri!$B$74*Parametri!$B$73/Parametri!$B$76,0)</f>
        <v>2.44</v>
      </c>
      <c r="O7" s="35">
        <f>IF(B7&lt;10,Parametri!$B$53,IF(B7&lt;20,Parametri!$B$56,Parametri!$B$57))*M7*G7*Parametri!$B$72/1000</f>
        <v>2.2175338527449999</v>
      </c>
      <c r="P7" s="35">
        <f>MIN(Parametri!$B$81+Parametri!$B$82,
Parametri!$B$81+Parametri!$B$82*(B7+1)/Parametri!$B$83)</f>
        <v>5.3</v>
      </c>
      <c r="Q7" s="35">
        <f>-IF(B7&lt;10,Parametri!$B$51,IF(B7&lt;20,Parametri!$B$54,Parametri!$B$57))*M7*G7/1000</f>
        <v>-12.319632515249999</v>
      </c>
      <c r="R7" s="35">
        <f t="shared" si="5"/>
        <v>8.2130883435000008</v>
      </c>
      <c r="S7" s="35">
        <f t="shared" si="8"/>
        <v>21.569436535500003</v>
      </c>
      <c r="T7" s="36">
        <f>-(Parametri!$B$86*(Parametri!$B$87*Parametri!$B$90+Parametri!$B$88*Parametri!$B$91+Parametri!$B$89*Parametri!$B$92)/1000000000)*MIN(B7+1,Parametri!$B$93)</f>
        <v>-1.7158499999999999</v>
      </c>
      <c r="U7" s="36">
        <f>IF(B7&lt;Parametri!$B$125,Parametri!$B$46,IF(B7&lt;Parametri!$B$126,Parametri!$B$47,Parametri!$B$48))*Parametri!$B$96*13/1000000000*((B7+1)*Parametri!$B$121+B7*(B7+1)/2*Parametri!$B$122)</f>
        <v>3.346618275</v>
      </c>
      <c r="V7" s="35">
        <f>IF(B7&gt;=Parametri!$B$103-1,Parametri!$B$102*(1-Parametri!$B$127)^(B7-(Parametri!$B$103-1)),0)</f>
        <v>5.8213499999999998</v>
      </c>
      <c r="W7" s="35">
        <f>IF(B7&gt;=Parametri!$B$105-1,Parametri!$B$104,0)</f>
        <v>5</v>
      </c>
      <c r="X7" s="35">
        <f>IF(B7&gt;=Parametri!$B$107-1,Parametri!$B$106+Parametri!$B$128*INT((B7-(Parametri!$B$107-1))/2),0)</f>
        <v>2.75</v>
      </c>
      <c r="Y7" s="34">
        <f>IF(AND(B7&gt;=Parametri!$B$109-1,B7&lt;Parametri!$B$109-1+Parametri!$B$140),Parametri!$B$108,0)</f>
        <v>1</v>
      </c>
      <c r="Z7" s="37">
        <f>IF(B7&lt;10,Parametri!$B$52,IF(B7&lt;20,Parametri!$B$55,0))*M7*G7/1000</f>
        <v>4.1065441717499995</v>
      </c>
      <c r="AA7" s="38">
        <f>Parametri!$B$159*Parametri!$B$160</f>
        <v>0</v>
      </c>
      <c r="AB7" s="39">
        <f>SUM(Z$5:Z7)+SUM(AA$5:AA7)</f>
        <v>10.784718267750002</v>
      </c>
      <c r="AC7" s="40">
        <f>-(Parametri!$B$67*SUM(Z$5:Z7)+Parametri!$B$161*SUM(AA$5:AA7))</f>
        <v>-0.16177077401625001</v>
      </c>
      <c r="AD7" s="39">
        <f>0</f>
        <v>0</v>
      </c>
      <c r="AE7" s="41">
        <f t="shared" si="6"/>
        <v>17.78479301022875</v>
      </c>
      <c r="AF7" s="41">
        <f t="shared" si="9"/>
        <v>44.50706659362875</v>
      </c>
      <c r="AG7" s="42">
        <f t="shared" si="7"/>
        <v>-1.9777032228905908E-2</v>
      </c>
      <c r="AH7" s="139">
        <f>SUM(Z$5:Z7)</f>
        <v>10.784718267750002</v>
      </c>
      <c r="AI7" s="139">
        <v>0</v>
      </c>
    </row>
    <row r="8" spans="1:35" ht="15" customHeight="1" x14ac:dyDescent="0.2">
      <c r="A8" s="27">
        <f>Parametri!$B$6+B8</f>
        <v>2030</v>
      </c>
      <c r="B8" s="28">
        <v>3</v>
      </c>
      <c r="C8" s="29">
        <f>C7*(1+Parametri!$B$14)</f>
        <v>22.7038132168</v>
      </c>
      <c r="D8" s="29">
        <f>D7*(1+Parametri!$B$15)+Parametri!$B$145*(1-Parametri!$B$15)^B7</f>
        <v>17.586813212499997</v>
      </c>
      <c r="E8" s="30">
        <f t="shared" si="0"/>
        <v>0.77461935775116364</v>
      </c>
      <c r="F8" s="31">
        <f>F7*(1+Parametri!$B$129)</f>
        <v>2257.1934593989995</v>
      </c>
      <c r="G8" s="32">
        <f>G7*(1+Parametri!$B$130)</f>
        <v>26700</v>
      </c>
      <c r="H8" s="31">
        <f t="shared" si="1"/>
        <v>366.88075228539122</v>
      </c>
      <c r="I8" s="33">
        <f>IF(B8&lt;=(Parametri!$B$35-Parametri!$B$6),Parametri!$B$32+(Parametri!$B$33-Parametri!$B$32)*B8/(Parametri!$B$35-Parametri!$B$6),Parametri!$B$33+(Parametri!$B$34-Parametri!$B$33)*(B8-(Parametri!$B$35-Parametri!$B$6))/(Parametri!$B$36-Parametri!$B$35))</f>
        <v>0.16253846153846155</v>
      </c>
      <c r="J8" s="31">
        <f t="shared" si="2"/>
        <v>351.80751414540566</v>
      </c>
      <c r="K8" s="33">
        <f t="shared" si="3"/>
        <v>0.15586059435024147</v>
      </c>
      <c r="L8" s="33">
        <f>IF(B8&lt;=5,Parametri!$B$58+(Parametri!$B$59-Parametri!$B$58)/5*B8,MIN(Parametri!$B$60,Parametri!$B$59+(Parametri!$B$60-Parametri!$B$59)/24*(B8-5)))</f>
        <v>0.49199999999999999</v>
      </c>
      <c r="M8" s="29">
        <f t="shared" si="4"/>
        <v>8.6527121005499978</v>
      </c>
      <c r="N8" s="34">
        <f>IF(B8&lt;Parametri!$B$76,Parametri!$B$75*Parametri!$B$74*Parametri!$B$73/Parametri!$B$76,0)</f>
        <v>0</v>
      </c>
      <c r="O8" s="35">
        <f>IF(B8&lt;10,Parametri!$B$53,IF(B8&lt;20,Parametri!$B$56,Parametri!$B$57))*M8*G8*Parametri!$B$72/1000</f>
        <v>2.4950960613145976</v>
      </c>
      <c r="P8" s="35">
        <f>MIN(Parametri!$B$81+Parametri!$B$82,
Parametri!$B$81+Parametri!$B$82*(B8+1)/Parametri!$B$83)</f>
        <v>5.9</v>
      </c>
      <c r="Q8" s="35">
        <f>-IF(B8&lt;10,Parametri!$B$51,IF(B8&lt;20,Parametri!$B$54,Parametri!$B$57))*M8*G8/1000</f>
        <v>-13.861644785081097</v>
      </c>
      <c r="R8" s="35">
        <f t="shared" si="5"/>
        <v>9.2410965233873981</v>
      </c>
      <c r="S8" s="35">
        <f t="shared" si="8"/>
        <v>30.810533058887401</v>
      </c>
      <c r="T8" s="36">
        <f>-(Parametri!$B$86*(Parametri!$B$87*Parametri!$B$90+Parametri!$B$88*Parametri!$B$91+Parametri!$B$89*Parametri!$B$92)/1000000000)*MIN(B8+1,Parametri!$B$93)</f>
        <v>-2.2877999999999998</v>
      </c>
      <c r="U8" s="36">
        <f>IF(B8&lt;Parametri!$B$125,Parametri!$B$46,IF(B8&lt;Parametri!$B$126,Parametri!$B$47,Parametri!$B$48))*Parametri!$B$96*13/1000000000*((B8+1)*Parametri!$B$121+B8*(B8+1)/2*Parametri!$B$122)</f>
        <v>4.8140878499999999</v>
      </c>
      <c r="V8" s="35">
        <f>IF(B8&gt;=Parametri!$B$103-1,Parametri!$B$102*(1-Parametri!$B$127)^(B8-(Parametri!$B$103-1)),0)</f>
        <v>5.7340297500000004</v>
      </c>
      <c r="W8" s="35">
        <f>IF(B8&gt;=Parametri!$B$105-1,Parametri!$B$104,0)</f>
        <v>5</v>
      </c>
      <c r="X8" s="35">
        <f>IF(B8&gt;=Parametri!$B$107-1,Parametri!$B$106+Parametri!$B$128*INT((B8-(Parametri!$B$107-1))/2),0)</f>
        <v>2.89</v>
      </c>
      <c r="Y8" s="34">
        <f>IF(AND(B8&gt;=Parametri!$B$109-1,B8&lt;Parametri!$B$109-1+Parametri!$B$140),Parametri!$B$108,0)</f>
        <v>0</v>
      </c>
      <c r="Z8" s="37">
        <f>IF(B8&lt;10,Parametri!$B$52,IF(B8&lt;20,Parametri!$B$55,0))*M8*G8/1000</f>
        <v>4.620548261693699</v>
      </c>
      <c r="AA8" s="38">
        <f>Parametri!$B$159*Parametri!$B$160</f>
        <v>0</v>
      </c>
      <c r="AB8" s="39">
        <f>SUM(Z$5:Z8)+SUM(AA$5:AA8)</f>
        <v>15.405266529443701</v>
      </c>
      <c r="AC8" s="40">
        <f>-(Parametri!$B$67*SUM(Z$5:Z8)+Parametri!$B$161*SUM(AA$5:AA8))</f>
        <v>-0.23107899794165551</v>
      </c>
      <c r="AD8" s="39">
        <f>0</f>
        <v>0</v>
      </c>
      <c r="AE8" s="41">
        <f t="shared" si="6"/>
        <v>15.073238139985547</v>
      </c>
      <c r="AF8" s="41">
        <f t="shared" si="9"/>
        <v>59.580304733614298</v>
      </c>
      <c r="AG8" s="42">
        <f t="shared" si="7"/>
        <v>-2.6395745781346607E-2</v>
      </c>
      <c r="AH8" s="139">
        <f>SUM(Z$5:Z8)</f>
        <v>15.405266529443701</v>
      </c>
      <c r="AI8" s="139">
        <v>0</v>
      </c>
    </row>
    <row r="9" spans="1:35" ht="15" customHeight="1" x14ac:dyDescent="0.2">
      <c r="A9" s="27">
        <f>Parametri!$B$6+B9</f>
        <v>2031</v>
      </c>
      <c r="B9" s="28">
        <v>4</v>
      </c>
      <c r="C9" s="29">
        <f>C8*(1+Parametri!$B$14)</f>
        <v>22.8400360961008</v>
      </c>
      <c r="D9" s="29">
        <f>D8*(1+Parametri!$B$15)+Parametri!$B$145*(1-Parametri!$B$15)^B8</f>
        <v>17.616627860937498</v>
      </c>
      <c r="E9" s="30">
        <f t="shared" si="0"/>
        <v>0.77130472941524686</v>
      </c>
      <c r="F9" s="31">
        <f>F8*(1+Parametri!$B$129)</f>
        <v>2263.9650397771961</v>
      </c>
      <c r="G9" s="32">
        <f>G8*(1+Parametri!$B$130)</f>
        <v>26700</v>
      </c>
      <c r="H9" s="31">
        <f t="shared" si="1"/>
        <v>369.89705726821262</v>
      </c>
      <c r="I9" s="33">
        <f>IF(B9&lt;=(Parametri!$B$35-Parametri!$B$6),Parametri!$B$32+(Parametri!$B$33-Parametri!$B$32)*B9/(Parametri!$B$35-Parametri!$B$6),Parametri!$B$33+(Parametri!$B$34-Parametri!$B$33)*(B9-(Parametri!$B$35-Parametri!$B$6))/(Parametri!$B$36-Parametri!$B$35))</f>
        <v>0.16338461538461538</v>
      </c>
      <c r="J9" s="31">
        <f t="shared" si="2"/>
        <v>353.48144932873271</v>
      </c>
      <c r="K9" s="33">
        <f t="shared" si="3"/>
        <v>0.15613379319829068</v>
      </c>
      <c r="L9" s="33">
        <f>IF(B9&lt;=5,Parametri!$B$58+(Parametri!$B$59-Parametri!$B$58)/5*B9,MIN(Parametri!$B$60,Parametri!$B$59+(Parametri!$B$60-Parametri!$B$59)/24*(B9-5)))</f>
        <v>0.54600000000000004</v>
      </c>
      <c r="M9" s="29">
        <f t="shared" si="4"/>
        <v>9.6186788120718756</v>
      </c>
      <c r="N9" s="34">
        <f>IF(B9&lt;Parametri!$B$76,Parametri!$B$75*Parametri!$B$74*Parametri!$B$73/Parametri!$B$76,0)</f>
        <v>0</v>
      </c>
      <c r="O9" s="35">
        <f>IF(B9&lt;10,Parametri!$B$53,IF(B9&lt;20,Parametri!$B$56,Parametri!$B$57))*M9*G9*Parametri!$B$72/1000</f>
        <v>2.7736422222490464</v>
      </c>
      <c r="P9" s="35">
        <f>MIN(Parametri!$B$81+Parametri!$B$82,
Parametri!$B$81+Parametri!$B$82*(B9+1)/Parametri!$B$83)</f>
        <v>6.5</v>
      </c>
      <c r="Q9" s="35">
        <f>-IF(B9&lt;10,Parametri!$B$51,IF(B9&lt;20,Parametri!$B$54,Parametri!$B$57))*M9*G9/1000</f>
        <v>-15.409123456939144</v>
      </c>
      <c r="R9" s="35">
        <f t="shared" si="5"/>
        <v>10.272748971292762</v>
      </c>
      <c r="S9" s="35">
        <f t="shared" si="8"/>
        <v>41.083282030180165</v>
      </c>
      <c r="T9" s="36">
        <f>-(Parametri!$B$86*(Parametri!$B$87*Parametri!$B$90+Parametri!$B$88*Parametri!$B$91+Parametri!$B$89*Parametri!$B$92)/1000000000)*MIN(B9+1,Parametri!$B$93)</f>
        <v>-2.85975</v>
      </c>
      <c r="U9" s="36">
        <f>IF(B9&lt;Parametri!$B$125,Parametri!$B$46,IF(B9&lt;Parametri!$B$126,Parametri!$B$47,Parametri!$B$48))*Parametri!$B$96*13/1000000000*((B9+1)*Parametri!$B$121+B9*(B9+1)/2*Parametri!$B$122)</f>
        <v>7.0445699999999984</v>
      </c>
      <c r="V9" s="35">
        <f>IF(B9&gt;=Parametri!$B$103-1,Parametri!$B$102*(1-Parametri!$B$127)^(B9-(Parametri!$B$103-1)),0)</f>
        <v>5.6480193037499999</v>
      </c>
      <c r="W9" s="35">
        <f>IF(B9&gt;=Parametri!$B$105-1,Parametri!$B$104,0)</f>
        <v>5</v>
      </c>
      <c r="X9" s="35">
        <f>IF(B9&gt;=Parametri!$B$107-1,Parametri!$B$106+Parametri!$B$128*INT((B9-(Parametri!$B$107-1))/2),0)</f>
        <v>2.89</v>
      </c>
      <c r="Y9" s="34">
        <f>IF(AND(B9&gt;=Parametri!$B$109-1,B9&lt;Parametri!$B$109-1+Parametri!$B$140),Parametri!$B$108,0)</f>
        <v>0</v>
      </c>
      <c r="Z9" s="37">
        <f>IF(B9&lt;10,Parametri!$B$52,IF(B9&lt;20,Parametri!$B$55,0))*M9*G9/1000</f>
        <v>5.1363744856463818</v>
      </c>
      <c r="AA9" s="38">
        <f>Parametri!$B$159*Parametri!$B$160</f>
        <v>0</v>
      </c>
      <c r="AB9" s="39">
        <f>SUM(Z$5:Z9)+SUM(AA$5:AA9)</f>
        <v>20.541641015090082</v>
      </c>
      <c r="AC9" s="40">
        <f>-(Parametri!$B$67*SUM(Z$5:Z9)+Parametri!$B$161*SUM(AA$5:AA9))</f>
        <v>-0.30812461522635121</v>
      </c>
      <c r="AD9" s="39">
        <f>0</f>
        <v>0</v>
      </c>
      <c r="AE9" s="41">
        <f t="shared" si="6"/>
        <v>16.415607939479933</v>
      </c>
      <c r="AF9" s="41">
        <f t="shared" si="9"/>
        <v>75.995912673094239</v>
      </c>
      <c r="AG9" s="42">
        <f t="shared" si="7"/>
        <v>-3.3567617581485812E-2</v>
      </c>
      <c r="AH9" s="139">
        <f>SUM(Z$5:Z9)</f>
        <v>20.541641015090082</v>
      </c>
      <c r="AI9" s="139">
        <v>0</v>
      </c>
    </row>
    <row r="10" spans="1:35" ht="15" customHeight="1" x14ac:dyDescent="0.2">
      <c r="A10" s="27">
        <f>Parametri!$B$6+B10</f>
        <v>2032</v>
      </c>
      <c r="B10" s="28">
        <v>5</v>
      </c>
      <c r="C10" s="29">
        <f>C9*(1+Parametri!$B$14)</f>
        <v>22.977076312677404</v>
      </c>
      <c r="D10" s="29">
        <f>D9*(1+Parametri!$B$15)+Parametri!$B$145*(1-Parametri!$B$15)^B9</f>
        <v>17.646882179705312</v>
      </c>
      <c r="E10" s="30">
        <f t="shared" si="0"/>
        <v>0.76802121991337935</v>
      </c>
      <c r="F10" s="31">
        <f>F9*(1+Parametri!$B$129)</f>
        <v>2270.7569348965276</v>
      </c>
      <c r="G10" s="32">
        <f>G9*(1+Parametri!$B$130)</f>
        <v>26700</v>
      </c>
      <c r="H10" s="31">
        <f t="shared" si="1"/>
        <v>372.92815815416049</v>
      </c>
      <c r="I10" s="33">
        <f>IF(B10&lt;=(Parametri!$B$35-Parametri!$B$6),Parametri!$B$32+(Parametri!$B$33-Parametri!$B$32)*B10/(Parametri!$B$35-Parametri!$B$6),Parametri!$B$33+(Parametri!$B$34-Parametri!$B$33)*(B10-(Parametri!$B$35-Parametri!$B$6))/(Parametri!$B$36-Parametri!$B$35))</f>
        <v>0.16423076923076924</v>
      </c>
      <c r="J10" s="31">
        <f t="shared" si="2"/>
        <v>354.71310410450002</v>
      </c>
      <c r="K10" s="33">
        <f t="shared" si="3"/>
        <v>0.15620919115266882</v>
      </c>
      <c r="L10" s="33">
        <f>IF(B10&lt;=5,Parametri!$B$58+(Parametri!$B$59-Parametri!$B$58)/5*B10,MIN(Parametri!$B$60,Parametri!$B$59+(Parametri!$B$60-Parametri!$B$59)/24*(B10-5)))</f>
        <v>0.6</v>
      </c>
      <c r="M10" s="29">
        <f t="shared" si="4"/>
        <v>10.588129307823186</v>
      </c>
      <c r="N10" s="34">
        <f>IF(B10&lt;Parametri!$B$76,Parametri!$B$75*Parametri!$B$74*Parametri!$B$73/Parametri!$B$76,0)</f>
        <v>0</v>
      </c>
      <c r="O10" s="35">
        <f>IF(B10&lt;10,Parametri!$B$53,IF(B10&lt;20,Parametri!$B$56,Parametri!$B$57))*M10*G10*Parametri!$B$72/1000</f>
        <v>3.053192967203894</v>
      </c>
      <c r="P10" s="35">
        <f>MIN(Parametri!$B$81+Parametri!$B$82,
Parametri!$B$81+Parametri!$B$82*(B10+1)/Parametri!$B$83)</f>
        <v>7.1</v>
      </c>
      <c r="Q10" s="35">
        <f>-IF(B10&lt;10,Parametri!$B$51,IF(B10&lt;20,Parametri!$B$54,Parametri!$B$57))*M10*G10/1000</f>
        <v>-16.962183151132745</v>
      </c>
      <c r="R10" s="35">
        <f t="shared" si="5"/>
        <v>11.308122100755163</v>
      </c>
      <c r="S10" s="35">
        <f t="shared" si="8"/>
        <v>52.391404130935328</v>
      </c>
      <c r="T10" s="36">
        <f>-(Parametri!$B$86*(Parametri!$B$87*Parametri!$B$90+Parametri!$B$88*Parametri!$B$91+Parametri!$B$89*Parametri!$B$92)/1000000000)*MIN(B10+1,Parametri!$B$93)</f>
        <v>-2.85975</v>
      </c>
      <c r="U10" s="36">
        <f>IF(B10&lt;Parametri!$B$125,Parametri!$B$46,IF(B10&lt;Parametri!$B$126,Parametri!$B$47,Parametri!$B$48))*Parametri!$B$96*13/1000000000*((B10+1)*Parametri!$B$121+B10*(B10+1)/2*Parametri!$B$122)</f>
        <v>9.0293696999999984</v>
      </c>
      <c r="V10" s="35">
        <f>IF(B10&gt;=Parametri!$B$103-1,Parametri!$B$102*(1-Parametri!$B$127)^(B10-(Parametri!$B$103-1)),0)</f>
        <v>5.5632990141937499</v>
      </c>
      <c r="W10" s="35">
        <f>IF(B10&gt;=Parametri!$B$105-1,Parametri!$B$104,0)</f>
        <v>5</v>
      </c>
      <c r="X10" s="35">
        <f>IF(B10&gt;=Parametri!$B$107-1,Parametri!$B$106+Parametri!$B$128*INT((B10-(Parametri!$B$107-1))/2),0)</f>
        <v>3.0300000000000002</v>
      </c>
      <c r="Y10" s="34">
        <f>IF(AND(B10&gt;=Parametri!$B$109-1,B10&lt;Parametri!$B$109-1+Parametri!$B$140),Parametri!$B$108,0)</f>
        <v>0</v>
      </c>
      <c r="Z10" s="37">
        <f>IF(B10&lt;10,Parametri!$B$52,IF(B10&lt;20,Parametri!$B$55,0))*M10*G10/1000</f>
        <v>5.6540610503775817</v>
      </c>
      <c r="AA10" s="38">
        <f>Parametri!$B$159*Parametri!$B$160</f>
        <v>0</v>
      </c>
      <c r="AB10" s="39">
        <f>SUM(Z$5:Z10)+SUM(AA$5:AA10)</f>
        <v>26.195702065467664</v>
      </c>
      <c r="AC10" s="40">
        <f>-(Parametri!$B$67*SUM(Z$5:Z10)+Parametri!$B$161*SUM(AA$5:AA10))</f>
        <v>-0.39293553098201495</v>
      </c>
      <c r="AD10" s="39">
        <f>0</f>
        <v>0</v>
      </c>
      <c r="AE10" s="41">
        <f t="shared" si="6"/>
        <v>18.215054049660466</v>
      </c>
      <c r="AF10" s="41">
        <f t="shared" si="9"/>
        <v>94.210966722754705</v>
      </c>
      <c r="AG10" s="42">
        <f t="shared" si="7"/>
        <v>-4.1488794011785173E-2</v>
      </c>
      <c r="AH10" s="139">
        <f>SUM(Z$5:Z10)</f>
        <v>26.195702065467664</v>
      </c>
      <c r="AI10" s="139">
        <v>0</v>
      </c>
    </row>
    <row r="11" spans="1:35" ht="15" customHeight="1" x14ac:dyDescent="0.2">
      <c r="A11" s="27">
        <f>Parametri!$B$6+B11</f>
        <v>2033</v>
      </c>
      <c r="B11" s="28">
        <v>6</v>
      </c>
      <c r="C11" s="29">
        <f>C10*(1+Parametri!$B$14)</f>
        <v>23.114938770553469</v>
      </c>
      <c r="D11" s="29">
        <f>D10*(1+Parametri!$B$15)+Parametri!$B$145*(1-Parametri!$B$15)^B10</f>
        <v>17.677576914169649</v>
      </c>
      <c r="E11" s="30">
        <f t="shared" si="0"/>
        <v>0.76476849407403269</v>
      </c>
      <c r="F11" s="31">
        <f>F10*(1+Parametri!$B$129)</f>
        <v>2277.569205701217</v>
      </c>
      <c r="G11" s="32">
        <f>G10*(1+Parametri!$B$130)</f>
        <v>26700</v>
      </c>
      <c r="H11" s="31">
        <f t="shared" si="1"/>
        <v>375.97411657190861</v>
      </c>
      <c r="I11" s="33">
        <f>IF(B11&lt;=(Parametri!$B$35-Parametri!$B$6),Parametri!$B$32+(Parametri!$B$33-Parametri!$B$32)*B11/(Parametri!$B$35-Parametri!$B$6),Parametri!$B$33+(Parametri!$B$34-Parametri!$B$33)*(B11-(Parametri!$B$35-Parametri!$B$6))/(Parametri!$B$36-Parametri!$B$35))</f>
        <v>0.16507692307692309</v>
      </c>
      <c r="J11" s="31">
        <f t="shared" si="2"/>
        <v>355.39712973871798</v>
      </c>
      <c r="K11" s="33">
        <f t="shared" si="3"/>
        <v>0.15604229669468966</v>
      </c>
      <c r="L11" s="33">
        <f>IF(B11&lt;=5,Parametri!$B$58+(Parametri!$B$59-Parametri!$B$58)/5*B11,MIN(Parametri!$B$60,Parametri!$B$59+(Parametri!$B$60-Parametri!$B$59)/24*(B11-5)))</f>
        <v>0.6166666666666667</v>
      </c>
      <c r="M11" s="29">
        <f t="shared" si="4"/>
        <v>10.901172430404618</v>
      </c>
      <c r="N11" s="34">
        <f>IF(B11&lt;Parametri!$B$76,Parametri!$B$75*Parametri!$B$74*Parametri!$B$73/Parametri!$B$76,0)</f>
        <v>0</v>
      </c>
      <c r="O11" s="35">
        <f>IF(B11&lt;10,Parametri!$B$53,IF(B11&lt;20,Parametri!$B$56,Parametri!$B$57))*M11*G11*Parametri!$B$72/1000</f>
        <v>3.1434620820314758</v>
      </c>
      <c r="P11" s="35">
        <f>MIN(Parametri!$B$81+Parametri!$B$82,
Parametri!$B$81+Parametri!$B$82*(B11+1)/Parametri!$B$83)</f>
        <v>7.7</v>
      </c>
      <c r="Q11" s="35">
        <f>-IF(B11&lt;10,Parametri!$B$51,IF(B11&lt;20,Parametri!$B$54,Parametri!$B$57))*M11*G11/1000</f>
        <v>-17.463678233508194</v>
      </c>
      <c r="R11" s="35">
        <f t="shared" si="5"/>
        <v>11.642452155672128</v>
      </c>
      <c r="S11" s="35">
        <f t="shared" si="8"/>
        <v>64.03385628660746</v>
      </c>
      <c r="T11" s="36">
        <f>-(Parametri!$B$86*(Parametri!$B$87*Parametri!$B$90+Parametri!$B$88*Parametri!$B$91+Parametri!$B$89*Parametri!$B$92)/1000000000)*MIN(B11+1,Parametri!$B$93)</f>
        <v>-2.85975</v>
      </c>
      <c r="U11" s="36">
        <f>IF(B11&lt;Parametri!$B$125,Parametri!$B$46,IF(B11&lt;Parametri!$B$126,Parametri!$B$47,Parametri!$B$48))*Parametri!$B$96*13/1000000000*((B11+1)*Parametri!$B$121+B11*(B11+1)/2*Parametri!$B$122)</f>
        <v>11.206131300000001</v>
      </c>
      <c r="V11" s="35">
        <f>IF(B11&gt;=Parametri!$B$103-1,Parametri!$B$102*(1-Parametri!$B$127)^(B11-(Parametri!$B$103-1)),0)</f>
        <v>5.4798495289808438</v>
      </c>
      <c r="W11" s="35">
        <f>IF(B11&gt;=Parametri!$B$105-1,Parametri!$B$104,0)</f>
        <v>5</v>
      </c>
      <c r="X11" s="35">
        <f>IF(B11&gt;=Parametri!$B$107-1,Parametri!$B$106+Parametri!$B$128*INT((B11-(Parametri!$B$107-1))/2),0)</f>
        <v>3.0300000000000002</v>
      </c>
      <c r="Y11" s="34">
        <f>IF(AND(B11&gt;=Parametri!$B$109-1,B11&lt;Parametri!$B$109-1+Parametri!$B$140),Parametri!$B$108,0)</f>
        <v>0</v>
      </c>
      <c r="Z11" s="37">
        <f>IF(B11&lt;10,Parametri!$B$52,IF(B11&lt;20,Parametri!$B$55,0))*M11*G11/1000</f>
        <v>5.8212260778360658</v>
      </c>
      <c r="AA11" s="38">
        <f>Parametri!$B$159*Parametri!$B$160</f>
        <v>0</v>
      </c>
      <c r="AB11" s="39">
        <f>SUM(Z$5:Z11)+SUM(AA$5:AA11)</f>
        <v>32.01692814330373</v>
      </c>
      <c r="AC11" s="40">
        <f>-(Parametri!$B$67*SUM(Z$5:Z11)+Parametri!$B$161*SUM(AA$5:AA11))</f>
        <v>-0.48025392214955592</v>
      </c>
      <c r="AD11" s="39">
        <f>0</f>
        <v>0</v>
      </c>
      <c r="AE11" s="41">
        <f t="shared" si="6"/>
        <v>20.576986833190638</v>
      </c>
      <c r="AF11" s="41">
        <f t="shared" si="9"/>
        <v>114.78795355594534</v>
      </c>
      <c r="AG11" s="42">
        <f t="shared" si="7"/>
        <v>-5.0399326294282447E-2</v>
      </c>
      <c r="AH11" s="139">
        <f>SUM(Z$5:Z11)</f>
        <v>32.01692814330373</v>
      </c>
      <c r="AI11" s="139">
        <v>0</v>
      </c>
    </row>
    <row r="12" spans="1:35" ht="15" customHeight="1" x14ac:dyDescent="0.2">
      <c r="A12" s="27">
        <f>Parametri!$B$6+B12</f>
        <v>2034</v>
      </c>
      <c r="B12" s="28">
        <v>7</v>
      </c>
      <c r="C12" s="29">
        <f>C11*(1+Parametri!$B$14)</f>
        <v>23.253628403176791</v>
      </c>
      <c r="D12" s="29">
        <f>D11*(1+Parametri!$B$15)+Parametri!$B$145*(1-Parametri!$B$15)^B11</f>
        <v>17.708712820688476</v>
      </c>
      <c r="E12" s="30">
        <f t="shared" si="0"/>
        <v>0.76154622038551212</v>
      </c>
      <c r="F12" s="31">
        <f>F11*(1+Parametri!$B$129)</f>
        <v>2284.4019133183206</v>
      </c>
      <c r="G12" s="32">
        <f>G11*(1+Parametri!$B$130)</f>
        <v>26700</v>
      </c>
      <c r="H12" s="31">
        <f t="shared" si="1"/>
        <v>379.03499438673981</v>
      </c>
      <c r="I12" s="33">
        <f>IF(B12&lt;=(Parametri!$B$35-Parametri!$B$6),Parametri!$B$32+(Parametri!$B$33-Parametri!$B$32)*B12/(Parametri!$B$35-Parametri!$B$6),Parametri!$B$33+(Parametri!$B$34-Parametri!$B$33)*(B12-(Parametri!$B$35-Parametri!$B$6))/(Parametri!$B$36-Parametri!$B$35))</f>
        <v>0.16592307692307692</v>
      </c>
      <c r="J12" s="31">
        <f t="shared" si="2"/>
        <v>355.76639456987959</v>
      </c>
      <c r="K12" s="33">
        <f t="shared" si="3"/>
        <v>0.15573721615960898</v>
      </c>
      <c r="L12" s="33">
        <f>IF(B12&lt;=5,Parametri!$B$58+(Parametri!$B$59-Parametri!$B$58)/5*B12,MIN(Parametri!$B$60,Parametri!$B$59+(Parametri!$B$60-Parametri!$B$59)/24*(B12-5)))</f>
        <v>0.6333333333333333</v>
      </c>
      <c r="M12" s="29">
        <f t="shared" si="4"/>
        <v>11.215518119769367</v>
      </c>
      <c r="N12" s="34">
        <f>IF(B12&lt;Parametri!$B$76,Parametri!$B$75*Parametri!$B$74*Parametri!$B$73/Parametri!$B$76,0)</f>
        <v>0</v>
      </c>
      <c r="O12" s="35">
        <f>IF(B12&lt;10,Parametri!$B$53,IF(B12&lt;20,Parametri!$B$56,Parametri!$B$57))*M12*G12*Parametri!$B$72/1000</f>
        <v>3.2341068050166952</v>
      </c>
      <c r="P12" s="35">
        <f>MIN(Parametri!$B$81+Parametri!$B$82,
Parametri!$B$81+Parametri!$B$82*(B12+1)/Parametri!$B$83)</f>
        <v>8.3000000000000007</v>
      </c>
      <c r="Q12" s="35">
        <f>-IF(B12&lt;10,Parametri!$B$51,IF(B12&lt;20,Parametri!$B$54,Parametri!$B$57))*M12*G12/1000</f>
        <v>-17.967260027870523</v>
      </c>
      <c r="R12" s="35">
        <f t="shared" si="5"/>
        <v>11.97817335191368</v>
      </c>
      <c r="S12" s="35">
        <f t="shared" si="8"/>
        <v>76.012029638521142</v>
      </c>
      <c r="T12" s="36">
        <f>-(Parametri!$B$86*(Parametri!$B$87*Parametri!$B$90+Parametri!$B$88*Parametri!$B$91+Parametri!$B$89*Parametri!$B$92)/1000000000)*MIN(B12+1,Parametri!$B$93)</f>
        <v>-2.85975</v>
      </c>
      <c r="U12" s="36">
        <f>IF(B12&lt;Parametri!$B$125,Parametri!$B$46,IF(B12&lt;Parametri!$B$126,Parametri!$B$47,Parametri!$B$48))*Parametri!$B$96*13/1000000000*((B12+1)*Parametri!$B$121+B12*(B12+1)/2*Parametri!$B$122)</f>
        <v>13.574854799999997</v>
      </c>
      <c r="V12" s="35">
        <f>IF(B12&gt;=Parametri!$B$103-1,Parametri!$B$102*(1-Parametri!$B$127)^(B12-(Parametri!$B$103-1)),0)</f>
        <v>5.3976517860461311</v>
      </c>
      <c r="W12" s="35">
        <f>IF(B12&gt;=Parametri!$B$105-1,Parametri!$B$104,0)</f>
        <v>5</v>
      </c>
      <c r="X12" s="35">
        <f>IF(B12&gt;=Parametri!$B$107-1,Parametri!$B$106+Parametri!$B$128*INT((B12-(Parametri!$B$107-1))/2),0)</f>
        <v>3.17</v>
      </c>
      <c r="Y12" s="34">
        <f>IF(AND(B12&gt;=Parametri!$B$109-1,B12&lt;Parametri!$B$109-1+Parametri!$B$140),Parametri!$B$108,0)</f>
        <v>0</v>
      </c>
      <c r="Z12" s="37">
        <f>IF(B12&lt;10,Parametri!$B$52,IF(B12&lt;20,Parametri!$B$55,0))*M12*G12/1000</f>
        <v>5.9890866759568429</v>
      </c>
      <c r="AA12" s="38">
        <f>Parametri!$B$159*Parametri!$B$160</f>
        <v>0</v>
      </c>
      <c r="AB12" s="39">
        <f>SUM(Z$5:Z12)+SUM(AA$5:AA12)</f>
        <v>38.006014819260571</v>
      </c>
      <c r="AC12" s="40">
        <f>-(Parametri!$B$67*SUM(Z$5:Z12)+Parametri!$B$161*SUM(AA$5:AA12))</f>
        <v>-0.57009022228890849</v>
      </c>
      <c r="AD12" s="39">
        <f>0</f>
        <v>0</v>
      </c>
      <c r="AE12" s="41">
        <f t="shared" si="6"/>
        <v>23.268599816860235</v>
      </c>
      <c r="AF12" s="41">
        <f t="shared" si="9"/>
        <v>138.05655337280558</v>
      </c>
      <c r="AG12" s="42">
        <f t="shared" si="7"/>
        <v>-6.0434441316092546E-2</v>
      </c>
      <c r="AH12" s="139">
        <f>SUM(Z$5:Z12)</f>
        <v>38.006014819260571</v>
      </c>
      <c r="AI12" s="139">
        <v>0</v>
      </c>
    </row>
    <row r="13" spans="1:35" ht="15" customHeight="1" x14ac:dyDescent="0.2">
      <c r="A13" s="27">
        <f>Parametri!$B$6+B13</f>
        <v>2035</v>
      </c>
      <c r="B13" s="28">
        <v>8</v>
      </c>
      <c r="C13" s="29">
        <f>C12*(1+Parametri!$B$14)</f>
        <v>23.393150173595853</v>
      </c>
      <c r="D13" s="29">
        <f>D12*(1+Parametri!$B$15)+Parametri!$B$145*(1-Parametri!$B$15)^B12</f>
        <v>17.740290666630159</v>
      </c>
      <c r="E13" s="30">
        <f t="shared" si="0"/>
        <v>0.75835407095594387</v>
      </c>
      <c r="F13" s="31">
        <f>F12*(1+Parametri!$B$129)</f>
        <v>2291.2551190582753</v>
      </c>
      <c r="G13" s="32">
        <f>G12*(1+Parametri!$B$130)</f>
        <v>26700</v>
      </c>
      <c r="H13" s="31">
        <f t="shared" si="1"/>
        <v>382.11085370141086</v>
      </c>
      <c r="I13" s="33">
        <f>IF(B13&lt;=(Parametri!$B$35-Parametri!$B$6),Parametri!$B$32+(Parametri!$B$33-Parametri!$B$32)*B13/(Parametri!$B$35-Parametri!$B$6),Parametri!$B$33+(Parametri!$B$34-Parametri!$B$33)*(B13-(Parametri!$B$35-Parametri!$B$6))/(Parametri!$B$36-Parametri!$B$35))</f>
        <v>0.16676923076923078</v>
      </c>
      <c r="J13" s="31">
        <f t="shared" si="2"/>
        <v>356.10100767776566</v>
      </c>
      <c r="K13" s="33">
        <f t="shared" si="3"/>
        <v>0.15541744117264694</v>
      </c>
      <c r="L13" s="33">
        <f>IF(B13&lt;=5,Parametri!$B$58+(Parametri!$B$59-Parametri!$B$58)/5*B13,MIN(Parametri!$B$60,Parametri!$B$59+(Parametri!$B$60-Parametri!$B$59)/24*(B13-5)))</f>
        <v>0.65</v>
      </c>
      <c r="M13" s="29">
        <f t="shared" si="4"/>
        <v>11.531188933309604</v>
      </c>
      <c r="N13" s="34">
        <f>IF(B13&lt;Parametri!$B$76,Parametri!$B$75*Parametri!$B$74*Parametri!$B$73/Parametri!$B$76,0)</f>
        <v>0</v>
      </c>
      <c r="O13" s="35">
        <f>IF(B13&lt;10,Parametri!$B$53,IF(B13&lt;20,Parametri!$B$56,Parametri!$B$57))*M13*G13*Parametri!$B$72/1000</f>
        <v>3.3251336408091574</v>
      </c>
      <c r="P13" s="35">
        <f>MIN(Parametri!$B$81+Parametri!$B$82,
Parametri!$B$81+Parametri!$B$82*(B13+1)/Parametri!$B$83)</f>
        <v>8.9</v>
      </c>
      <c r="Q13" s="35">
        <f>-IF(B13&lt;10,Parametri!$B$51,IF(B13&lt;20,Parametri!$B$54,Parametri!$B$57))*M13*G13/1000</f>
        <v>-18.472964671161986</v>
      </c>
      <c r="R13" s="35">
        <f t="shared" si="5"/>
        <v>12.315309780774658</v>
      </c>
      <c r="S13" s="35">
        <f t="shared" si="8"/>
        <v>88.327339419295797</v>
      </c>
      <c r="T13" s="36">
        <f>-(Parametri!$B$86*(Parametri!$B$87*Parametri!$B$90+Parametri!$B$88*Parametri!$B$91+Parametri!$B$89*Parametri!$B$92)/1000000000)*MIN(B13+1,Parametri!$B$93)</f>
        <v>-2.85975</v>
      </c>
      <c r="U13" s="36">
        <f>IF(B13&lt;Parametri!$B$125,Parametri!$B$46,IF(B13&lt;Parametri!$B$126,Parametri!$B$47,Parametri!$B$48))*Parametri!$B$96*13/1000000000*((B13+1)*Parametri!$B$121+B13*(B13+1)/2*Parametri!$B$122)</f>
        <v>16.135540199999998</v>
      </c>
      <c r="V13" s="35">
        <f>IF(B13&gt;=Parametri!$B$103-1,Parametri!$B$102*(1-Parametri!$B$127)^(B13-(Parametri!$B$103-1)),0)</f>
        <v>5.316687009255439</v>
      </c>
      <c r="W13" s="35">
        <f>IF(B13&gt;=Parametri!$B$105-1,Parametri!$B$104,0)</f>
        <v>5</v>
      </c>
      <c r="X13" s="35">
        <f>IF(B13&gt;=Parametri!$B$107-1,Parametri!$B$106+Parametri!$B$128*INT((B13-(Parametri!$B$107-1))/2),0)</f>
        <v>3.17</v>
      </c>
      <c r="Y13" s="34">
        <f>IF(AND(B13&gt;=Parametri!$B$109-1,B13&lt;Parametri!$B$109-1+Parametri!$B$140),Parametri!$B$108,0)</f>
        <v>0</v>
      </c>
      <c r="Z13" s="37">
        <f>IF(B13&lt;10,Parametri!$B$52,IF(B13&lt;20,Parametri!$B$55,0))*M13*G13/1000</f>
        <v>6.1576548903873283</v>
      </c>
      <c r="AA13" s="38">
        <f>Parametri!$B$159*Parametri!$B$160</f>
        <v>0</v>
      </c>
      <c r="AB13" s="39">
        <f>SUM(Z$5:Z13)+SUM(AA$5:AA13)</f>
        <v>44.163669709647898</v>
      </c>
      <c r="AC13" s="40">
        <f>-(Parametri!$B$67*SUM(Z$5:Z13)+Parametri!$B$161*SUM(AA$5:AA13))</f>
        <v>-0.66245504564471847</v>
      </c>
      <c r="AD13" s="39">
        <f>0</f>
        <v>0</v>
      </c>
      <c r="AE13" s="41">
        <f t="shared" si="6"/>
        <v>26.009846023645217</v>
      </c>
      <c r="AF13" s="41">
        <f t="shared" si="9"/>
        <v>164.06639939645081</v>
      </c>
      <c r="AG13" s="42">
        <f t="shared" si="7"/>
        <v>-7.1605469871850611E-2</v>
      </c>
      <c r="AH13" s="139">
        <f>SUM(Z$5:Z13)</f>
        <v>44.163669709647898</v>
      </c>
      <c r="AI13" s="139">
        <v>0</v>
      </c>
    </row>
    <row r="14" spans="1:35" ht="15" customHeight="1" x14ac:dyDescent="0.2">
      <c r="A14" s="27">
        <f>Parametri!$B$6+B14</f>
        <v>2036</v>
      </c>
      <c r="B14" s="28">
        <v>9</v>
      </c>
      <c r="C14" s="29">
        <f>C13*(1+Parametri!$B$14)</f>
        <v>23.533509074637429</v>
      </c>
      <c r="D14" s="29">
        <f>D13*(1+Parametri!$B$15)+Parametri!$B$145*(1-Parametri!$B$15)^B13</f>
        <v>17.772311230392358</v>
      </c>
      <c r="E14" s="30">
        <f t="shared" si="0"/>
        <v>0.75519172147369906</v>
      </c>
      <c r="F14" s="31">
        <f>F13*(1+Parametri!$B$129)</f>
        <v>2298.1288844154501</v>
      </c>
      <c r="G14" s="32">
        <f>G13*(1+Parametri!$B$130)</f>
        <v>26700</v>
      </c>
      <c r="H14" s="31">
        <f t="shared" si="1"/>
        <v>385.20175685702048</v>
      </c>
      <c r="I14" s="33">
        <f>IF(B14&lt;=(Parametri!$B$35-Parametri!$B$6),Parametri!$B$32+(Parametri!$B$33-Parametri!$B$32)*B14/(Parametri!$B$35-Parametri!$B$6),Parametri!$B$33+(Parametri!$B$34-Parametri!$B$33)*(B14-(Parametri!$B$35-Parametri!$B$6))/(Parametri!$B$36-Parametri!$B$35))</f>
        <v>0.16761538461538464</v>
      </c>
      <c r="J14" s="31">
        <f t="shared" si="2"/>
        <v>356.12107832562765</v>
      </c>
      <c r="K14" s="33">
        <f t="shared" si="3"/>
        <v>0.15496131689594522</v>
      </c>
      <c r="L14" s="33">
        <f>IF(B14&lt;=5,Parametri!$B$58+(Parametri!$B$59-Parametri!$B$58)/5*B14,MIN(Parametri!$B$60,Parametri!$B$59+(Parametri!$B$60-Parametri!$B$59)/24*(B14-5)))</f>
        <v>0.66666666666666663</v>
      </c>
      <c r="M14" s="29">
        <f t="shared" si="4"/>
        <v>11.848207486928239</v>
      </c>
      <c r="N14" s="34">
        <f>IF(B14&lt;Parametri!$B$76,Parametri!$B$75*Parametri!$B$74*Parametri!$B$73/Parametri!$B$76,0)</f>
        <v>0</v>
      </c>
      <c r="O14" s="35">
        <f>IF(B14&lt;10,Parametri!$B$53,IF(B14&lt;20,Parametri!$B$56,Parametri!$B$57))*M14*G14*Parametri!$B$72/1000</f>
        <v>3.4165491109306272</v>
      </c>
      <c r="P14" s="35">
        <f>MIN(Parametri!$B$81+Parametri!$B$82,
Parametri!$B$81+Parametri!$B$82*(B14+1)/Parametri!$B$83)</f>
        <v>9.5</v>
      </c>
      <c r="Q14" s="35">
        <f>-IF(B14&lt;10,Parametri!$B$51,IF(B14&lt;20,Parametri!$B$54,Parametri!$B$57))*M14*G14/1000</f>
        <v>-18.980828394059039</v>
      </c>
      <c r="R14" s="35">
        <f t="shared" si="5"/>
        <v>12.653885596039359</v>
      </c>
      <c r="S14" s="35">
        <f t="shared" si="8"/>
        <v>100.98122501533516</v>
      </c>
      <c r="T14" s="36">
        <f>-(Parametri!$B$86*(Parametri!$B$87*Parametri!$B$90+Parametri!$B$88*Parametri!$B$91+Parametri!$B$89*Parametri!$B$92)/1000000000)*MIN(B14+1,Parametri!$B$93)</f>
        <v>-2.85975</v>
      </c>
      <c r="U14" s="36">
        <f>IF(B14&lt;Parametri!$B$125,Parametri!$B$46,IF(B14&lt;Parametri!$B$126,Parametri!$B$47,Parametri!$B$48))*Parametri!$B$96*13/1000000000*((B14+1)*Parametri!$B$121+B14*(B14+1)/2*Parametri!$B$122)</f>
        <v>18.888187499999997</v>
      </c>
      <c r="V14" s="35">
        <f>IF(B14&gt;=Parametri!$B$103-1,Parametri!$B$102*(1-Parametri!$B$127)^(B14-(Parametri!$B$103-1)),0)</f>
        <v>5.2369367041166077</v>
      </c>
      <c r="W14" s="35">
        <f>IF(B14&gt;=Parametri!$B$105-1,Parametri!$B$104,0)</f>
        <v>5</v>
      </c>
      <c r="X14" s="35">
        <f>IF(B14&gt;=Parametri!$B$107-1,Parametri!$B$106+Parametri!$B$128*INT((B14-(Parametri!$B$107-1))/2),0)</f>
        <v>3.31</v>
      </c>
      <c r="Y14" s="34">
        <f>IF(AND(B14&gt;=Parametri!$B$109-1,B14&lt;Parametri!$B$109-1+Parametri!$B$140),Parametri!$B$108,0)</f>
        <v>0</v>
      </c>
      <c r="Z14" s="37">
        <f>IF(B14&lt;10,Parametri!$B$52,IF(B14&lt;20,Parametri!$B$55,0))*M14*G14/1000</f>
        <v>6.3269427980196795</v>
      </c>
      <c r="AA14" s="38">
        <f>Parametri!$B$159*Parametri!$B$160</f>
        <v>0</v>
      </c>
      <c r="AB14" s="39">
        <f>SUM(Z$5:Z14)+SUM(AA$5:AA14)</f>
        <v>50.490612507667578</v>
      </c>
      <c r="AC14" s="40">
        <f>-(Parametri!$B$67*SUM(Z$5:Z14)+Parametri!$B$161*SUM(AA$5:AA14))</f>
        <v>-0.75735918761501364</v>
      </c>
      <c r="AD14" s="39">
        <f>0</f>
        <v>0</v>
      </c>
      <c r="AE14" s="41">
        <f t="shared" si="6"/>
        <v>29.080678531392863</v>
      </c>
      <c r="AF14" s="41">
        <f t="shared" si="9"/>
        <v>193.14707792784367</v>
      </c>
      <c r="AG14" s="42">
        <f t="shared" si="7"/>
        <v>-8.404536370333833E-2</v>
      </c>
      <c r="AH14" s="139">
        <f>SUM(Z$5:Z14)</f>
        <v>50.490612507667578</v>
      </c>
      <c r="AI14" s="139">
        <v>0</v>
      </c>
    </row>
    <row r="15" spans="1:35" ht="15" customHeight="1" x14ac:dyDescent="0.2">
      <c r="A15" s="27">
        <f>Parametri!$B$6+B15</f>
        <v>2037</v>
      </c>
      <c r="B15" s="28">
        <v>10</v>
      </c>
      <c r="C15" s="29">
        <f>C14*(1+Parametri!$B$14)</f>
        <v>23.674710129085256</v>
      </c>
      <c r="D15" s="29">
        <f>D14*(1+Parametri!$B$15)+Parametri!$B$145*(1-Parametri!$B$15)^B14</f>
        <v>17.804775301421223</v>
      </c>
      <c r="E15" s="30">
        <f t="shared" si="0"/>
        <v>0.75205885116825144</v>
      </c>
      <c r="F15" s="31">
        <f>F14*(1+Parametri!$B$129)</f>
        <v>2305.023271068696</v>
      </c>
      <c r="G15" s="32">
        <f>G14*(1+Parametri!$B$130)</f>
        <v>26700</v>
      </c>
      <c r="H15" s="31">
        <f t="shared" si="1"/>
        <v>388.30776643388032</v>
      </c>
      <c r="I15" s="33">
        <f>IF(B15&lt;=(Parametri!$B$35-Parametri!$B$6),Parametri!$B$32+(Parametri!$B$33-Parametri!$B$32)*B15/(Parametri!$B$35-Parametri!$B$6),Parametri!$B$33+(Parametri!$B$34-Parametri!$B$33)*(B15-(Parametri!$B$35-Parametri!$B$6))/(Parametri!$B$36-Parametri!$B$35))</f>
        <v>0.16846153846153847</v>
      </c>
      <c r="J15" s="31">
        <f t="shared" si="2"/>
        <v>360.84949859695286</v>
      </c>
      <c r="K15" s="33">
        <f t="shared" si="3"/>
        <v>0.15654917810424074</v>
      </c>
      <c r="L15" s="33">
        <f>IF(B15&lt;=5,Parametri!$B$58+(Parametri!$B$59-Parametri!$B$58)/5*B15,MIN(Parametri!$B$60,Parametri!$B$59+(Parametri!$B$60-Parametri!$B$59)/24*(B15-5)))</f>
        <v>0.68333333333333335</v>
      </c>
      <c r="M15" s="29">
        <f t="shared" si="4"/>
        <v>12.16659645597117</v>
      </c>
      <c r="N15" s="34">
        <f>IF(B15&lt;Parametri!$B$76,Parametri!$B$75*Parametri!$B$74*Parametri!$B$73/Parametri!$B$76,0)</f>
        <v>0</v>
      </c>
      <c r="O15" s="35">
        <f>IF(B15&lt;10,Parametri!$B$53,IF(B15&lt;20,Parametri!$B$56,Parametri!$B$57))*M15*G15*Parametri!$B$72/1000</f>
        <v>5.2625396310657706</v>
      </c>
      <c r="P15" s="35">
        <f>MIN(Parametri!$B$81+Parametri!$B$82,
Parametri!$B$81+Parametri!$B$82*(B15+1)/Parametri!$B$83)</f>
        <v>10.1</v>
      </c>
      <c r="Q15" s="35">
        <f>-IF(B15&lt;10,Parametri!$B$51,IF(B15&lt;20,Parametri!$B$54,Parametri!$B$57))*M15*G15/1000</f>
        <v>-25.987850029954423</v>
      </c>
      <c r="R15" s="35">
        <f t="shared" si="5"/>
        <v>19.490887522465819</v>
      </c>
      <c r="S15" s="35">
        <f t="shared" si="8"/>
        <v>120.47211253780097</v>
      </c>
      <c r="T15" s="36">
        <f>-(Parametri!$B$86*(Parametri!$B$87*Parametri!$B$90+Parametri!$B$88*Parametri!$B$91+Parametri!$B$89*Parametri!$B$92)/1000000000)*MIN(B15+1,Parametri!$B$93)</f>
        <v>-2.85975</v>
      </c>
      <c r="U15" s="36">
        <f>IF(B15&lt;Parametri!$B$125,Parametri!$B$46,IF(B15&lt;Parametri!$B$126,Parametri!$B$47,Parametri!$B$48))*Parametri!$B$96*13/1000000000*((B15+1)*Parametri!$B$121+B15*(B15+1)/2*Parametri!$B$122)</f>
        <v>21.832796699999996</v>
      </c>
      <c r="V15" s="35">
        <f>IF(B15&gt;=Parametri!$B$103-1,Parametri!$B$102*(1-Parametri!$B$127)^(B15-(Parametri!$B$103-1)),0)</f>
        <v>5.1583826535548587</v>
      </c>
      <c r="W15" s="35">
        <f>IF(B15&gt;=Parametri!$B$105-1,Parametri!$B$104,0)</f>
        <v>5</v>
      </c>
      <c r="X15" s="35">
        <f>IF(B15&gt;=Parametri!$B$107-1,Parametri!$B$106+Parametri!$B$128*INT((B15-(Parametri!$B$107-1))/2),0)</f>
        <v>3.31</v>
      </c>
      <c r="Y15" s="34">
        <f>IF(AND(B15&gt;=Parametri!$B$109-1,B15&lt;Parametri!$B$109-1+Parametri!$B$140),Parametri!$B$108,0)</f>
        <v>0</v>
      </c>
      <c r="Z15" s="37">
        <f>IF(B15&lt;10,Parametri!$B$52,IF(B15&lt;20,Parametri!$B$55,0))*M15*G15/1000</f>
        <v>6.4969625074886057</v>
      </c>
      <c r="AA15" s="38">
        <f>Parametri!$B$159*Parametri!$B$160</f>
        <v>0</v>
      </c>
      <c r="AB15" s="39">
        <f>SUM(Z$5:Z15)+SUM(AA$5:AA15)</f>
        <v>56.987575015156182</v>
      </c>
      <c r="AC15" s="40">
        <f>-(Parametri!$B$67*SUM(Z$5:Z15)+Parametri!$B$161*SUM(AA$5:AA15))</f>
        <v>-0.85481362522734272</v>
      </c>
      <c r="AD15" s="39">
        <f>0</f>
        <v>0</v>
      </c>
      <c r="AE15" s="41">
        <f t="shared" si="6"/>
        <v>27.458267836927462</v>
      </c>
      <c r="AF15" s="41">
        <f t="shared" si="9"/>
        <v>220.60534576477113</v>
      </c>
      <c r="AG15" s="42">
        <f t="shared" si="7"/>
        <v>-9.5706342115361873E-2</v>
      </c>
      <c r="AH15" s="139">
        <f>SUM(Z$5:Z15)</f>
        <v>56.987575015156182</v>
      </c>
      <c r="AI15" s="139">
        <v>0</v>
      </c>
    </row>
    <row r="16" spans="1:35" ht="15" customHeight="1" x14ac:dyDescent="0.2">
      <c r="A16" s="27">
        <f>Parametri!$B$6+B16</f>
        <v>2038</v>
      </c>
      <c r="B16" s="28">
        <v>11</v>
      </c>
      <c r="C16" s="29">
        <f>C15*(1+Parametri!$B$14)</f>
        <v>23.816758389859768</v>
      </c>
      <c r="D16" s="29">
        <f>D15*(1+Parametri!$B$15)+Parametri!$B$145*(1-Parametri!$B$15)^B15</f>
        <v>17.83768368023085</v>
      </c>
      <c r="E16" s="30">
        <f t="shared" si="0"/>
        <v>0.74895514277146247</v>
      </c>
      <c r="F16" s="31">
        <f>F15*(1+Parametri!$B$129)</f>
        <v>2311.9383408819017</v>
      </c>
      <c r="G16" s="32">
        <f>G15*(1+Parametri!$B$130)</f>
        <v>26700</v>
      </c>
      <c r="H16" s="31">
        <f t="shared" si="1"/>
        <v>391.42894525238972</v>
      </c>
      <c r="I16" s="43">
        <f>IF(B16&lt;=(Parametri!$B$35-Parametri!$B$6),Parametri!$B$32+(Parametri!$B$33-Parametri!$B$32)*B16/(Parametri!$B$35-Parametri!$B$6),Parametri!$B$33+(Parametri!$B$34-Parametri!$B$33)*(B16-(Parametri!$B$35-Parametri!$B$6))/(Parametri!$B$36-Parametri!$B$35))</f>
        <v>0.16930769230769233</v>
      </c>
      <c r="J16" s="31">
        <f t="shared" si="2"/>
        <v>365.63934390593852</v>
      </c>
      <c r="K16" s="43">
        <f t="shared" si="3"/>
        <v>0.15815272295128052</v>
      </c>
      <c r="L16" s="33">
        <f>IF(B16&lt;=5,Parametri!$B$58+(Parametri!$B$59-Parametri!$B$58)/5*B16,MIN(Parametri!$B$60,Parametri!$B$59+(Parametri!$B$60-Parametri!$B$59)/24*(B16-5)))</f>
        <v>0.7</v>
      </c>
      <c r="M16" s="29">
        <f t="shared" si="4"/>
        <v>12.486378576161593</v>
      </c>
      <c r="N16" s="34">
        <f>IF(B16&lt;Parametri!$B$76,Parametri!$B$75*Parametri!$B$74*Parametri!$B$73/Parametri!$B$76,0)</f>
        <v>0</v>
      </c>
      <c r="O16" s="35">
        <f>IF(B16&lt;10,Parametri!$B$53,IF(B16&lt;20,Parametri!$B$56,Parametri!$B$57))*M16*G16*Parametri!$B$72/1000</f>
        <v>5.4008581893329355</v>
      </c>
      <c r="P16" s="35">
        <f>MIN(Parametri!$B$81+Parametri!$B$82,
Parametri!$B$81+Parametri!$B$82*(B16+1)/Parametri!$B$83)</f>
        <v>10.7</v>
      </c>
      <c r="Q16" s="35">
        <f>-IF(B16&lt;10,Parametri!$B$51,IF(B16&lt;20,Parametri!$B$54,Parametri!$B$57))*M16*G16/1000</f>
        <v>-26.670904638681165</v>
      </c>
      <c r="R16" s="35">
        <f t="shared" si="5"/>
        <v>20.003178479010874</v>
      </c>
      <c r="S16" s="35">
        <f t="shared" si="8"/>
        <v>140.47529101681184</v>
      </c>
      <c r="T16" s="36">
        <f>-(Parametri!$B$86*(Parametri!$B$87*Parametri!$B$90+Parametri!$B$88*Parametri!$B$91+Parametri!$B$89*Parametri!$B$92)/1000000000)*MIN(B16+1,Parametri!$B$93)</f>
        <v>-2.85975</v>
      </c>
      <c r="U16" s="36">
        <f>IF(B16&lt;Parametri!$B$125,Parametri!$B$46,IF(B16&lt;Parametri!$B$126,Parametri!$B$47,Parametri!$B$48))*Parametri!$B$96*13/1000000000*((B16+1)*Parametri!$B$121+B16*(B16+1)/2*Parametri!$B$122)</f>
        <v>19.97549424</v>
      </c>
      <c r="V16" s="35">
        <f>IF(B16&gt;=Parametri!$B$103-1,Parametri!$B$102*(1-Parametri!$B$127)^(B16-(Parametri!$B$103-1)),0)</f>
        <v>5.0810069137515361</v>
      </c>
      <c r="W16" s="35">
        <f>IF(B16&gt;=Parametri!$B$105-1,Parametri!$B$104,0)</f>
        <v>5</v>
      </c>
      <c r="X16" s="35">
        <f>IF(B16&gt;=Parametri!$B$107-1,Parametri!$B$106+Parametri!$B$128*INT((B16-(Parametri!$B$107-1))/2),0)</f>
        <v>3.45</v>
      </c>
      <c r="Y16" s="34">
        <f>IF(AND(B16&gt;=Parametri!$B$109-1,B16&lt;Parametri!$B$109-1+Parametri!$B$140),Parametri!$B$108,0)</f>
        <v>0</v>
      </c>
      <c r="Z16" s="37">
        <f>IF(B16&lt;10,Parametri!$B$52,IF(B16&lt;20,Parametri!$B$55,0))*M16*G16/1000</f>
        <v>6.6677261596702913</v>
      </c>
      <c r="AA16" s="38">
        <f>Parametri!$B$159*Parametri!$B$160</f>
        <v>0</v>
      </c>
      <c r="AB16" s="39">
        <f>SUM(Z$5:Z16)+SUM(AA$5:AA16)</f>
        <v>63.655301174826477</v>
      </c>
      <c r="AC16" s="40">
        <f>-(Parametri!$B$67*SUM(Z$5:Z16)+Parametri!$B$161*SUM(AA$5:AA16))</f>
        <v>-0.95482951762239709</v>
      </c>
      <c r="AD16" s="39">
        <f>0</f>
        <v>0</v>
      </c>
      <c r="AE16" s="41">
        <f t="shared" si="6"/>
        <v>25.7896013464512</v>
      </c>
      <c r="AF16" s="41">
        <f t="shared" si="9"/>
        <v>246.39494711122234</v>
      </c>
      <c r="AG16" s="42">
        <f t="shared" si="7"/>
        <v>-0.10657505122616445</v>
      </c>
      <c r="AH16" s="139">
        <f>SUM(Z$5:Z16)</f>
        <v>63.655301174826477</v>
      </c>
      <c r="AI16" s="139">
        <v>0</v>
      </c>
    </row>
    <row r="17" spans="1:35" ht="15" customHeight="1" x14ac:dyDescent="0.2">
      <c r="A17" s="27">
        <f>Parametri!$B$6+B17</f>
        <v>2039</v>
      </c>
      <c r="B17" s="28">
        <v>12</v>
      </c>
      <c r="C17" s="29">
        <f>C16*(1+Parametri!$B$14)</f>
        <v>23.959658940198928</v>
      </c>
      <c r="D17" s="29">
        <f>D16*(1+Parametri!$B$15)+Parametri!$B$145*(1-Parametri!$B$15)^B16</f>
        <v>17.871037178423013</v>
      </c>
      <c r="E17" s="30">
        <f t="shared" si="0"/>
        <v>0.74588028247928961</v>
      </c>
      <c r="F17" s="31">
        <f>F16*(1+Parametri!$B$129)</f>
        <v>2318.874155904547</v>
      </c>
      <c r="G17" s="32">
        <f>G16*(1+Parametri!$B$130)</f>
        <v>26700</v>
      </c>
      <c r="H17" s="31">
        <f t="shared" si="1"/>
        <v>394.56535637391215</v>
      </c>
      <c r="I17" s="43">
        <f>IF(B17&lt;=(Parametri!$B$35-Parametri!$B$6),Parametri!$B$32+(Parametri!$B$33-Parametri!$B$32)*B17/(Parametri!$B$35-Parametri!$B$6),Parametri!$B$33+(Parametri!$B$34-Parametri!$B$33)*(B17-(Parametri!$B$35-Parametri!$B$6))/(Parametri!$B$36-Parametri!$B$35))</f>
        <v>0.17015384615384616</v>
      </c>
      <c r="J17" s="31">
        <f t="shared" si="2"/>
        <v>366.06736071313168</v>
      </c>
      <c r="K17" s="43">
        <f t="shared" si="3"/>
        <v>0.15786426347502072</v>
      </c>
      <c r="L17" s="33">
        <f>IF(B17&lt;=5,Parametri!$B$58+(Parametri!$B$59-Parametri!$B$58)/5*B17,MIN(Parametri!$B$60,Parametri!$B$59+(Parametri!$B$60-Parametri!$B$59)/24*(B17-5)))</f>
        <v>0.71666666666666667</v>
      </c>
      <c r="M17" s="29">
        <f t="shared" si="4"/>
        <v>12.807576644536493</v>
      </c>
      <c r="N17" s="34">
        <f>IF(B17&lt;Parametri!$B$76,Parametri!$B$75*Parametri!$B$74*Parametri!$B$73/Parametri!$B$76,0)</f>
        <v>0</v>
      </c>
      <c r="O17" s="35">
        <f>IF(B17&lt;10,Parametri!$B$53,IF(B17&lt;20,Parametri!$B$56,Parametri!$B$57))*M17*G17*Parametri!$B$72/1000</f>
        <v>5.5397892018278156</v>
      </c>
      <c r="P17" s="35">
        <f>MIN(Parametri!$B$81+Parametri!$B$82,
Parametri!$B$81+Parametri!$B$82*(B17+1)/Parametri!$B$83)</f>
        <v>11.3</v>
      </c>
      <c r="Q17" s="35">
        <f>-IF(B17&lt;10,Parametri!$B$51,IF(B17&lt;20,Parametri!$B$54,Parametri!$B$57))*M17*G17/1000</f>
        <v>-27.356983712729946</v>
      </c>
      <c r="R17" s="35">
        <f t="shared" si="5"/>
        <v>20.51773778454746</v>
      </c>
      <c r="S17" s="35">
        <f t="shared" si="8"/>
        <v>160.99302880135929</v>
      </c>
      <c r="T17" s="36">
        <f>-(Parametri!$B$86*(Parametri!$B$87*Parametri!$B$90+Parametri!$B$88*Parametri!$B$91+Parametri!$B$89*Parametri!$B$92)/1000000000)*MIN(B17+1,Parametri!$B$93)</f>
        <v>-2.85975</v>
      </c>
      <c r="U17" s="36">
        <f>IF(B17&lt;Parametri!$B$125,Parametri!$B$46,IF(B17&lt;Parametri!$B$126,Parametri!$B$47,Parametri!$B$48))*Parametri!$B$96*13/1000000000*((B17+1)*Parametri!$B$121+B17*(B17+1)/2*Parametri!$B$122)</f>
        <v>22.63832064</v>
      </c>
      <c r="V17" s="35">
        <f>IF(B17&gt;=Parametri!$B$103-1,Parametri!$B$102*(1-Parametri!$B$127)^(B17-(Parametri!$B$103-1)),0)</f>
        <v>5.0047918100452629</v>
      </c>
      <c r="W17" s="35">
        <f>IF(B17&gt;=Parametri!$B$105-1,Parametri!$B$104,0)</f>
        <v>5</v>
      </c>
      <c r="X17" s="35">
        <f>IF(B17&gt;=Parametri!$B$107-1,Parametri!$B$106+Parametri!$B$128*INT((B17-(Parametri!$B$107-1))/2),0)</f>
        <v>3.45</v>
      </c>
      <c r="Y17" s="34">
        <f>IF(AND(B17&gt;=Parametri!$B$109-1,B17&lt;Parametri!$B$109-1+Parametri!$B$140),Parametri!$B$108,0)</f>
        <v>0</v>
      </c>
      <c r="Z17" s="37">
        <f>IF(B17&lt;10,Parametri!$B$52,IF(B17&lt;20,Parametri!$B$55,0))*M17*G17/1000</f>
        <v>6.8392459281824864</v>
      </c>
      <c r="AA17" s="38">
        <f>Parametri!$B$159*Parametri!$B$160</f>
        <v>0</v>
      </c>
      <c r="AB17" s="39">
        <f>SUM(Z$5:Z17)+SUM(AA$5:AA17)</f>
        <v>70.494547103008969</v>
      </c>
      <c r="AC17" s="40">
        <f>-(Parametri!$B$67*SUM(Z$5:Z17)+Parametri!$B$161*SUM(AA$5:AA17))</f>
        <v>-1.0574182065451345</v>
      </c>
      <c r="AD17" s="39">
        <f>0</f>
        <v>0</v>
      </c>
      <c r="AE17" s="41">
        <f t="shared" si="6"/>
        <v>28.497995660780482</v>
      </c>
      <c r="AF17" s="41">
        <f t="shared" si="9"/>
        <v>274.89294277200281</v>
      </c>
      <c r="AG17" s="42">
        <f t="shared" si="7"/>
        <v>-0.11854586505785283</v>
      </c>
      <c r="AH17" s="139">
        <f>SUM(Z$5:Z17)</f>
        <v>70.494547103008969</v>
      </c>
      <c r="AI17" s="139">
        <v>0</v>
      </c>
    </row>
    <row r="18" spans="1:35" ht="15" customHeight="1" x14ac:dyDescent="0.2">
      <c r="A18" s="27">
        <f>Parametri!$B$6+B18</f>
        <v>2040</v>
      </c>
      <c r="B18" s="28">
        <v>13</v>
      </c>
      <c r="C18" s="29">
        <f>C17*(1+Parametri!$B$14)</f>
        <v>24.103416893840123</v>
      </c>
      <c r="D18" s="29">
        <f>D17*(1+Parametri!$B$15)+Parametri!$B$145*(1-Parametri!$B$15)^B17</f>
        <v>17.904836618707179</v>
      </c>
      <c r="E18" s="30">
        <f t="shared" si="0"/>
        <v>0.74283395991391354</v>
      </c>
      <c r="F18" s="31">
        <f>F17*(1+Parametri!$B$129)</f>
        <v>2325.8307783722603</v>
      </c>
      <c r="G18" s="32">
        <f>G17*(1+Parametri!$B$130)</f>
        <v>26700</v>
      </c>
      <c r="H18" s="31">
        <f t="shared" si="1"/>
        <v>397.71706310165655</v>
      </c>
      <c r="I18" s="43">
        <f>IF(B18&lt;=(Parametri!$B$35-Parametri!$B$6),Parametri!$B$32+(Parametri!$B$33-Parametri!$B$32)*B18/(Parametri!$B$35-Parametri!$B$6),Parametri!$B$33+(Parametri!$B$34-Parametri!$B$33)*(B18-(Parametri!$B$35-Parametri!$B$6))/(Parametri!$B$36-Parametri!$B$35))</f>
        <v>0.17100000000000001</v>
      </c>
      <c r="J18" s="31">
        <f t="shared" si="2"/>
        <v>366.22022732915514</v>
      </c>
      <c r="K18" s="43">
        <f t="shared" si="3"/>
        <v>0.15745781281020602</v>
      </c>
      <c r="L18" s="33">
        <f>IF(B18&lt;=5,Parametri!$B$58+(Parametri!$B$59-Parametri!$B$58)/5*B18,MIN(Parametri!$B$60,Parametri!$B$59+(Parametri!$B$60-Parametri!$B$59)/24*(B18-5)))</f>
        <v>0.73333333333333328</v>
      </c>
      <c r="M18" s="29">
        <f t="shared" si="4"/>
        <v>13.130213520385263</v>
      </c>
      <c r="N18" s="34">
        <f>IF(B18&lt;Parametri!$B$76,Parametri!$B$75*Parametri!$B$74*Parametri!$B$73/Parametri!$B$76,0)</f>
        <v>0</v>
      </c>
      <c r="O18" s="35">
        <f>IF(B18&lt;10,Parametri!$B$53,IF(B18&lt;20,Parametri!$B$56,Parametri!$B$57))*M18*G18*Parametri!$B$72/1000</f>
        <v>5.679342556107442</v>
      </c>
      <c r="P18" s="35">
        <f>MIN(Parametri!$B$81+Parametri!$B$82,
Parametri!$B$81+Parametri!$B$82*(B18+1)/Parametri!$B$83)</f>
        <v>11.9</v>
      </c>
      <c r="Q18" s="35">
        <f>-IF(B18&lt;10,Parametri!$B$51,IF(B18&lt;20,Parametri!$B$54,Parametri!$B$57))*M18*G18/1000</f>
        <v>-28.046136079542926</v>
      </c>
      <c r="R18" s="35">
        <f t="shared" si="5"/>
        <v>21.034602059657196</v>
      </c>
      <c r="S18" s="35">
        <f t="shared" si="8"/>
        <v>182.02763086101649</v>
      </c>
      <c r="T18" s="36">
        <f>-(Parametri!$B$86*(Parametri!$B$87*Parametri!$B$90+Parametri!$B$88*Parametri!$B$91+Parametri!$B$89*Parametri!$B$92)/1000000000)*MIN(B18+1,Parametri!$B$93)</f>
        <v>-2.85975</v>
      </c>
      <c r="U18" s="36">
        <f>IF(B18&lt;Parametri!$B$125,Parametri!$B$46,IF(B18&lt;Parametri!$B$126,Parametri!$B$47,Parametri!$B$48))*Parametri!$B$96*13/1000000000*((B18+1)*Parametri!$B$121+B18*(B18+1)/2*Parametri!$B$122)</f>
        <v>25.454716559999998</v>
      </c>
      <c r="V18" s="35">
        <f>IF(B18&gt;=Parametri!$B$103-1,Parametri!$B$102*(1-Parametri!$B$127)^(B18-(Parametri!$B$103-1)),0)</f>
        <v>4.9297199328945833</v>
      </c>
      <c r="W18" s="35">
        <f>IF(B18&gt;=Parametri!$B$105-1,Parametri!$B$104,0)</f>
        <v>5</v>
      </c>
      <c r="X18" s="35">
        <f>IF(B18&gt;=Parametri!$B$107-1,Parametri!$B$106+Parametri!$B$128*INT((B18-(Parametri!$B$107-1))/2),0)</f>
        <v>3.59</v>
      </c>
      <c r="Y18" s="34">
        <f>IF(AND(B18&gt;=Parametri!$B$109-1,B18&lt;Parametri!$B$109-1+Parametri!$B$140),Parametri!$B$108,0)</f>
        <v>0</v>
      </c>
      <c r="Z18" s="37">
        <f>IF(B18&lt;10,Parametri!$B$52,IF(B18&lt;20,Parametri!$B$55,0))*M18*G18/1000</f>
        <v>7.0115340198857314</v>
      </c>
      <c r="AA18" s="38">
        <f>Parametri!$B$159*Parametri!$B$160</f>
        <v>0</v>
      </c>
      <c r="AB18" s="39">
        <f>SUM(Z$5:Z18)+SUM(AA$5:AA18)</f>
        <v>77.506081122894699</v>
      </c>
      <c r="AC18" s="40">
        <f>-(Parametri!$B$67*SUM(Z$5:Z18)+Parametri!$B$161*SUM(AA$5:AA18))</f>
        <v>-1.1625912168434205</v>
      </c>
      <c r="AD18" s="39">
        <f>0</f>
        <v>0</v>
      </c>
      <c r="AE18" s="41">
        <f t="shared" si="6"/>
        <v>31.496835772501402</v>
      </c>
      <c r="AF18" s="41">
        <f t="shared" si="9"/>
        <v>306.38977854450422</v>
      </c>
      <c r="AG18" s="42">
        <f t="shared" si="7"/>
        <v>-0.13173347837409394</v>
      </c>
      <c r="AH18" s="139">
        <f>SUM(Z$5:Z18)</f>
        <v>77.506081122894699</v>
      </c>
      <c r="AI18" s="139">
        <v>0</v>
      </c>
    </row>
    <row r="19" spans="1:35" ht="15" customHeight="1" x14ac:dyDescent="0.2">
      <c r="A19" s="27">
        <f>Parametri!$B$6+B19</f>
        <v>2041</v>
      </c>
      <c r="B19" s="28">
        <v>14</v>
      </c>
      <c r="C19" s="29">
        <f>C18*(1+Parametri!$B$14)</f>
        <v>24.248037395203163</v>
      </c>
      <c r="D19" s="29">
        <f>D18*(1+Parametri!$B$15)+Parametri!$B$145*(1-Parametri!$B$15)^B18</f>
        <v>17.939082834920804</v>
      </c>
      <c r="E19" s="30">
        <f t="shared" si="0"/>
        <v>0.73981586808627986</v>
      </c>
      <c r="F19" s="31">
        <f>F18*(1+Parametri!$B$129)</f>
        <v>2332.8082707073768</v>
      </c>
      <c r="G19" s="32">
        <f>G18*(1+Parametri!$B$130)</f>
        <v>26700</v>
      </c>
      <c r="H19" s="31">
        <f t="shared" si="1"/>
        <v>395.41100188490037</v>
      </c>
      <c r="I19" s="43">
        <f>IF(B19&lt;=(Parametri!$B$35-Parametri!$B$6),Parametri!$B$32+(Parametri!$B$33-Parametri!$B$32)*B19/(Parametri!$B$35-Parametri!$B$6),Parametri!$B$33+(Parametri!$B$34-Parametri!$B$33)*(B19-(Parametri!$B$35-Parametri!$B$6))/(Parametri!$B$36-Parametri!$B$35))</f>
        <v>0.16950000000000001</v>
      </c>
      <c r="J19" s="31">
        <f t="shared" si="2"/>
        <v>360.90493586706828</v>
      </c>
      <c r="K19" s="43">
        <f t="shared" si="3"/>
        <v>0.15470835747578654</v>
      </c>
      <c r="L19" s="33">
        <f>IF(B19&lt;=5,Parametri!$B$58+(Parametri!$B$59-Parametri!$B$58)/5*B19,MIN(Parametri!$B$60,Parametri!$B$59+(Parametri!$B$60-Parametri!$B$59)/24*(B19-5)))</f>
        <v>0.75</v>
      </c>
      <c r="M19" s="29">
        <f t="shared" si="4"/>
        <v>13.454312126190603</v>
      </c>
      <c r="N19" s="34">
        <f>IF(B19&lt;Parametri!$B$76,Parametri!$B$75*Parametri!$B$74*Parametri!$B$73/Parametri!$B$76,0)</f>
        <v>0</v>
      </c>
      <c r="O19" s="35">
        <f>IF(B19&lt;10,Parametri!$B$53,IF(B19&lt;20,Parametri!$B$56,Parametri!$B$57))*M19*G19*Parametri!$B$72/1000</f>
        <v>5.8195281670624839</v>
      </c>
      <c r="P19" s="35">
        <f>MIN(Parametri!$B$81+Parametri!$B$82,
Parametri!$B$81+Parametri!$B$82*(B19+1)/Parametri!$B$83)</f>
        <v>12.5</v>
      </c>
      <c r="Q19" s="35">
        <f>-IF(B19&lt;10,Parametri!$B$51,IF(B19&lt;20,Parametri!$B$54,Parametri!$B$57))*M19*G19/1000</f>
        <v>-28.738410701543128</v>
      </c>
      <c r="R19" s="35">
        <f t="shared" si="5"/>
        <v>21.553808026157345</v>
      </c>
      <c r="S19" s="35">
        <f t="shared" si="8"/>
        <v>203.58143888717385</v>
      </c>
      <c r="T19" s="36">
        <f>-(Parametri!$B$86*(Parametri!$B$87*Parametri!$B$90+Parametri!$B$88*Parametri!$B$91+Parametri!$B$89*Parametri!$B$92)/1000000000)*MIN(B19+1,Parametri!$B$93)</f>
        <v>-2.85975</v>
      </c>
      <c r="U19" s="36">
        <f>IF(B19&lt;Parametri!$B$125,Parametri!$B$46,IF(B19&lt;Parametri!$B$126,Parametri!$B$47,Parametri!$B$48))*Parametri!$B$96*13/1000000000*((B19+1)*Parametri!$B$121+B19*(B19+1)/2*Parametri!$B$122)</f>
        <v>28.424681999999997</v>
      </c>
      <c r="V19" s="35">
        <f>IF(B19&gt;=Parametri!$B$103-1,Parametri!$B$102*(1-Parametri!$B$127)^(B19-(Parametri!$B$103-1)),0)</f>
        <v>4.8557741339011651</v>
      </c>
      <c r="W19" s="35">
        <f>IF(B19&gt;=Parametri!$B$105-1,Parametri!$B$104,0)</f>
        <v>5</v>
      </c>
      <c r="X19" s="35">
        <f>IF(B19&gt;=Parametri!$B$107-1,Parametri!$B$106+Parametri!$B$128*INT((B19-(Parametri!$B$107-1))/2),0)</f>
        <v>3.59</v>
      </c>
      <c r="Y19" s="34">
        <f>IF(AND(B19&gt;=Parametri!$B$109-1,B19&lt;Parametri!$B$109-1+Parametri!$B$140),Parametri!$B$108,0)</f>
        <v>0</v>
      </c>
      <c r="Z19" s="37">
        <f>IF(B19&lt;10,Parametri!$B$52,IF(B19&lt;20,Parametri!$B$55,0))*M19*G19/1000</f>
        <v>7.1846026753857819</v>
      </c>
      <c r="AA19" s="38">
        <f>Parametri!$B$159*Parametri!$B$160</f>
        <v>0</v>
      </c>
      <c r="AB19" s="39">
        <f>SUM(Z$5:Z19)+SUM(AA$5:AA19)</f>
        <v>84.690683798280475</v>
      </c>
      <c r="AC19" s="40">
        <f>-(Parametri!$B$67*SUM(Z$5:Z19)+Parametri!$B$161*SUM(AA$5:AA19))</f>
        <v>-1.2703602569742072</v>
      </c>
      <c r="AD19" s="39">
        <f>0</f>
        <v>0</v>
      </c>
      <c r="AE19" s="41">
        <f t="shared" si="6"/>
        <v>34.50606601783209</v>
      </c>
      <c r="AF19" s="41">
        <f t="shared" si="9"/>
        <v>340.89584456233632</v>
      </c>
      <c r="AG19" s="42">
        <f t="shared" si="7"/>
        <v>-0.14613110251832509</v>
      </c>
      <c r="AH19" s="139">
        <f>SUM(Z$5:Z19)</f>
        <v>84.690683798280475</v>
      </c>
      <c r="AI19" s="139">
        <v>0</v>
      </c>
    </row>
    <row r="20" spans="1:35" ht="15" customHeight="1" x14ac:dyDescent="0.2">
      <c r="A20" s="27">
        <f>Parametri!$B$6+B20</f>
        <v>2042</v>
      </c>
      <c r="B20" s="28">
        <v>15</v>
      </c>
      <c r="C20" s="29">
        <f>C19*(1+Parametri!$B$14)</f>
        <v>24.393525619574383</v>
      </c>
      <c r="D20" s="29">
        <f>D19*(1+Parametri!$B$15)+Parametri!$B$145*(1-Parametri!$B$15)^B19</f>
        <v>17.973776672049901</v>
      </c>
      <c r="E20" s="30">
        <f t="shared" si="0"/>
        <v>0.73682570335904995</v>
      </c>
      <c r="F20" s="31">
        <f>F19*(1+Parametri!$B$129)</f>
        <v>2339.8066955194986</v>
      </c>
      <c r="G20" s="32">
        <f>G19*(1+Parametri!$B$130)</f>
        <v>26700</v>
      </c>
      <c r="H20" s="31">
        <f t="shared" si="1"/>
        <v>393.0875248472758</v>
      </c>
      <c r="I20" s="33">
        <f>IF(B20&lt;=(Parametri!$B$35-Parametri!$B$6),Parametri!$B$32+(Parametri!$B$33-Parametri!$B$32)*B20/(Parametri!$B$35-Parametri!$B$6),Parametri!$B$33+(Parametri!$B$34-Parametri!$B$33)*(B20-(Parametri!$B$35-Parametri!$B$6))/(Parametri!$B$36-Parametri!$B$35))</f>
        <v>0.16800000000000001</v>
      </c>
      <c r="J20" s="31">
        <f t="shared" si="2"/>
        <v>358.96574411618695</v>
      </c>
      <c r="K20" s="33">
        <f t="shared" si="3"/>
        <v>0.1534168377257708</v>
      </c>
      <c r="L20" s="33">
        <f>IF(B20&lt;=5,Parametri!$B$58+(Parametri!$B$59-Parametri!$B$58)/5*B20,MIN(Parametri!$B$60,Parametri!$B$59+(Parametri!$B$60-Parametri!$B$59)/24*(B20-5)))</f>
        <v>0.76666666666666661</v>
      </c>
      <c r="M20" s="29">
        <f t="shared" si="4"/>
        <v>13.77989544857159</v>
      </c>
      <c r="N20" s="34">
        <f>IF(B20&lt;Parametri!$B$76,Parametri!$B$75*Parametri!$B$74*Parametri!$B$73/Parametri!$B$76,0)</f>
        <v>0</v>
      </c>
      <c r="O20" s="35">
        <f>IF(B20&lt;10,Parametri!$B$53,IF(B20&lt;20,Parametri!$B$56,Parametri!$B$57))*M20*G20*Parametri!$B$72/1000</f>
        <v>5.9603559773251558</v>
      </c>
      <c r="P20" s="35">
        <f>MIN(Parametri!$B$81+Parametri!$B$82,
Parametri!$B$81+Parametri!$B$82*(B20+1)/Parametri!$B$83)</f>
        <v>12.5</v>
      </c>
      <c r="Q20" s="35">
        <f>-IF(B20&lt;10,Parametri!$B$51,IF(B20&lt;20,Parametri!$B$54,Parametri!$B$57))*M20*G20/1000</f>
        <v>-29.433856678148921</v>
      </c>
      <c r="R20" s="35">
        <f t="shared" si="5"/>
        <v>22.075392508611692</v>
      </c>
      <c r="S20" s="35">
        <f t="shared" si="8"/>
        <v>225.65683139578553</v>
      </c>
      <c r="T20" s="36">
        <f>-(Parametri!$B$86*(Parametri!$B$87*Parametri!$B$90+Parametri!$B$88*Parametri!$B$91+Parametri!$B$89*Parametri!$B$92)/1000000000)*MIN(B20+1,Parametri!$B$93)</f>
        <v>-2.85975</v>
      </c>
      <c r="U20" s="36">
        <f>IF(B20&lt;Parametri!$B$125,Parametri!$B$46,IF(B20&lt;Parametri!$B$126,Parametri!$B$47,Parametri!$B$48))*Parametri!$B$96*13/1000000000*((B20+1)*Parametri!$B$121+B20*(B20+1)/2*Parametri!$B$122)</f>
        <v>31.548216959999994</v>
      </c>
      <c r="V20" s="35">
        <f>IF(B20&gt;=Parametri!$B$103-1,Parametri!$B$102*(1-Parametri!$B$127)^(B20-(Parametri!$B$103-1)),0)</f>
        <v>4.7829375218926469</v>
      </c>
      <c r="W20" s="35">
        <f>IF(B20&gt;=Parametri!$B$105-1,Parametri!$B$104,0)</f>
        <v>5</v>
      </c>
      <c r="X20" s="35">
        <f>IF(B20&gt;=Parametri!$B$107-1,Parametri!$B$106+Parametri!$B$128*INT((B20-(Parametri!$B$107-1))/2),0)</f>
        <v>3.73</v>
      </c>
      <c r="Y20" s="34">
        <f>IF(AND(B20&gt;=Parametri!$B$109-1,B20&lt;Parametri!$B$109-1+Parametri!$B$140),Parametri!$B$108,0)</f>
        <v>0</v>
      </c>
      <c r="Z20" s="37">
        <f>IF(B20&lt;10,Parametri!$B$52,IF(B20&lt;20,Parametri!$B$55,0))*M20*G20/1000</f>
        <v>7.3584641695372301</v>
      </c>
      <c r="AA20" s="38">
        <f>Parametri!$B$159*Parametri!$B$160</f>
        <v>0</v>
      </c>
      <c r="AB20" s="39">
        <f>(SUM(Z$5:Z20)+SUM(AA$5:AA20)-SUM(Z$5:Z5)-SUM(AA$5:AA5))</f>
        <v>88.965297967817705</v>
      </c>
      <c r="AC20" s="40">
        <f>-(Parametri!$B$67*SUM(Z$5:Z20)+Parametri!$B$161*SUM(AA$5:AA20))</f>
        <v>-1.3807372195172656</v>
      </c>
      <c r="AD20" s="39">
        <f t="shared" ref="AD20:AD38" si="10">-Z5-AA5</f>
        <v>-3.0838500000000004</v>
      </c>
      <c r="AE20" s="41">
        <f t="shared" si="6"/>
        <v>34.12178073108884</v>
      </c>
      <c r="AF20" s="41">
        <f t="shared" si="9"/>
        <v>375.01762529342517</v>
      </c>
      <c r="AG20" s="42">
        <f t="shared" si="7"/>
        <v>-0.16027718273118344</v>
      </c>
      <c r="AH20" s="139">
        <f>SUM(Z$5:Z20)-SUM(Z$5:Z5)</f>
        <v>88.965297967817705</v>
      </c>
      <c r="AI20" s="139">
        <f t="shared" ref="AI20:AI38" si="11">-Z5</f>
        <v>-3.0838500000000004</v>
      </c>
    </row>
    <row r="21" spans="1:35" ht="15" customHeight="1" x14ac:dyDescent="0.2">
      <c r="A21" s="27">
        <f>Parametri!$B$6+B21</f>
        <v>2043</v>
      </c>
      <c r="B21" s="28">
        <v>16</v>
      </c>
      <c r="C21" s="29">
        <f>C20*(1+Parametri!$B$14)</f>
        <v>24.53988677329183</v>
      </c>
      <c r="D21" s="29">
        <f>D20*(1+Parametri!$B$15)+Parametri!$B$145*(1-Parametri!$B$15)^B20</f>
        <v>18.008918986249867</v>
      </c>
      <c r="E21" s="30">
        <f t="shared" si="0"/>
        <v>0.73386316540995655</v>
      </c>
      <c r="F21" s="31">
        <f>F20*(1+Parametri!$B$129)</f>
        <v>2346.8261156060566</v>
      </c>
      <c r="G21" s="32">
        <f>G20*(1+Parametri!$B$130)</f>
        <v>26700</v>
      </c>
      <c r="H21" s="31">
        <f t="shared" si="1"/>
        <v>390.74654824840843</v>
      </c>
      <c r="I21" s="33">
        <f>IF(B21&lt;=(Parametri!$B$35-Parametri!$B$6),Parametri!$B$32+(Parametri!$B$33-Parametri!$B$32)*B21/(Parametri!$B$35-Parametri!$B$6),Parametri!$B$33+(Parametri!$B$34-Parametri!$B$33)*(B21-(Parametri!$B$35-Parametri!$B$6))/(Parametri!$B$36-Parametri!$B$35))</f>
        <v>0.16650000000000001</v>
      </c>
      <c r="J21" s="31">
        <f t="shared" si="2"/>
        <v>354.42539810520748</v>
      </c>
      <c r="K21" s="33">
        <f t="shared" si="3"/>
        <v>0.15102328875084928</v>
      </c>
      <c r="L21" s="33">
        <f>IF(B21&lt;=5,Parametri!$B$58+(Parametri!$B$59-Parametri!$B$58)/5*B21,MIN(Parametri!$B$60,Parametri!$B$59+(Parametri!$B$60-Parametri!$B$59)/24*(B21-5)))</f>
        <v>0.78333333333333333</v>
      </c>
      <c r="M21" s="29">
        <f t="shared" si="4"/>
        <v>14.106986539229062</v>
      </c>
      <c r="N21" s="34">
        <f>IF(B21&lt;Parametri!$B$76,Parametri!$B$75*Parametri!$B$74*Parametri!$B$73/Parametri!$B$76,0)</f>
        <v>0</v>
      </c>
      <c r="O21" s="35">
        <f>IF(B21&lt;10,Parametri!$B$53,IF(B21&lt;20,Parametri!$B$56,Parametri!$B$57))*M21*G21*Parametri!$B$72/1000</f>
        <v>6.1018359576781398</v>
      </c>
      <c r="P21" s="35">
        <f>MIN(Parametri!$B$81+Parametri!$B$82,
Parametri!$B$81+Parametri!$B$82*(B21+1)/Parametri!$B$83)</f>
        <v>12.5</v>
      </c>
      <c r="Q21" s="35">
        <f>-IF(B21&lt;10,Parametri!$B$51,IF(B21&lt;20,Parametri!$B$54,Parametri!$B$57))*M21*G21/1000</f>
        <v>-30.13252324779328</v>
      </c>
      <c r="R21" s="35">
        <f t="shared" si="5"/>
        <v>22.599392435844962</v>
      </c>
      <c r="S21" s="35">
        <f t="shared" si="8"/>
        <v>248.25622383163051</v>
      </c>
      <c r="T21" s="36">
        <f>-(Parametri!$B$86*(Parametri!$B$87*Parametri!$B$90+Parametri!$B$88*Parametri!$B$91+Parametri!$B$89*Parametri!$B$92)/1000000000)*MIN(B21+1,Parametri!$B$93)</f>
        <v>-2.85975</v>
      </c>
      <c r="U21" s="36">
        <f>IF(B21&lt;Parametri!$B$125,Parametri!$B$46,IF(B21&lt;Parametri!$B$126,Parametri!$B$47,Parametri!$B$48))*Parametri!$B$96*13/1000000000*((B21+1)*Parametri!$B$121+B21*(B21+1)/2*Parametri!$B$122)</f>
        <v>34.825321439999996</v>
      </c>
      <c r="V21" s="35">
        <f>IF(B21&gt;=Parametri!$B$103-1,Parametri!$B$102*(1-Parametri!$B$127)^(B21-(Parametri!$B$103-1)),0)</f>
        <v>4.7111934590642575</v>
      </c>
      <c r="W21" s="35">
        <f>IF(B21&gt;=Parametri!$B$105-1,Parametri!$B$104,0)</f>
        <v>5</v>
      </c>
      <c r="X21" s="35">
        <f>IF(B21&gt;=Parametri!$B$107-1,Parametri!$B$106+Parametri!$B$128*INT((B21-(Parametri!$B$107-1))/2),0)</f>
        <v>3.73</v>
      </c>
      <c r="Y21" s="34">
        <f>IF(AND(B21&gt;=Parametri!$B$109-1,B21&lt;Parametri!$B$109-1+Parametri!$B$140),Parametri!$B$108,0)</f>
        <v>0</v>
      </c>
      <c r="Z21" s="37">
        <f>IF(B21&lt;10,Parametri!$B$52,IF(B21&lt;20,Parametri!$B$55,0))*M21*G21/1000</f>
        <v>7.53313081194832</v>
      </c>
      <c r="AA21" s="38">
        <f>Parametri!$B$159*Parametri!$B$160</f>
        <v>0</v>
      </c>
      <c r="AB21" s="39">
        <f>(SUM(Z$5:Z21)+SUM(AA$5:AA21)-SUM(Z$5:Z6)-SUM(AA$5:AA6))</f>
        <v>92.904104683766022</v>
      </c>
      <c r="AC21" s="40">
        <f>-(Parametri!$B$67*SUM(Z$5:Z21)+Parametri!$B$161*SUM(AA$5:AA21))</f>
        <v>-1.4937341816964904</v>
      </c>
      <c r="AD21" s="39">
        <f t="shared" si="10"/>
        <v>-3.5943240960000007</v>
      </c>
      <c r="AE21" s="41">
        <f t="shared" si="6"/>
        <v>36.321150143200938</v>
      </c>
      <c r="AF21" s="41">
        <f t="shared" si="9"/>
        <v>411.33877543662612</v>
      </c>
      <c r="AG21" s="42">
        <f t="shared" si="7"/>
        <v>-0.17527450061224492</v>
      </c>
      <c r="AH21" s="139">
        <f>SUM(Z$5:Z21)-SUM(Z$5:Z6)</f>
        <v>92.904104683766022</v>
      </c>
      <c r="AI21" s="139">
        <f t="shared" si="11"/>
        <v>-3.5943240960000007</v>
      </c>
    </row>
    <row r="22" spans="1:35" ht="15" customHeight="1" x14ac:dyDescent="0.2">
      <c r="A22" s="27">
        <f>Parametri!$B$6+B22</f>
        <v>2044</v>
      </c>
      <c r="B22" s="28">
        <v>17</v>
      </c>
      <c r="C22" s="29">
        <f>C21*(1+Parametri!$B$14)</f>
        <v>24.687126093931582</v>
      </c>
      <c r="D22" s="29">
        <f>D21*(1+Parametri!$B$15)+Parametri!$B$145*(1-Parametri!$B$15)^B21</f>
        <v>18.044510644866637</v>
      </c>
      <c r="E22" s="30">
        <f t="shared" si="0"/>
        <v>0.73092795719556092</v>
      </c>
      <c r="F22" s="31">
        <f>F21*(1+Parametri!$B$129)</f>
        <v>2353.8665939528746</v>
      </c>
      <c r="G22" s="32">
        <f>G21*(1+Parametri!$B$130)</f>
        <v>26700</v>
      </c>
      <c r="H22" s="31">
        <f t="shared" si="1"/>
        <v>388.38798800222435</v>
      </c>
      <c r="I22" s="33">
        <f>IF(B22&lt;=(Parametri!$B$35-Parametri!$B$6),Parametri!$B$32+(Parametri!$B$33-Parametri!$B$32)*B22/(Parametri!$B$35-Parametri!$B$6),Parametri!$B$33+(Parametri!$B$34-Parametri!$B$33)*(B22-(Parametri!$B$35-Parametri!$B$6))/(Parametri!$B$36-Parametri!$B$35))</f>
        <v>0.16500000000000001</v>
      </c>
      <c r="J22" s="31">
        <f t="shared" si="2"/>
        <v>349.57899131770142</v>
      </c>
      <c r="K22" s="33">
        <f t="shared" si="3"/>
        <v>0.14851266091960186</v>
      </c>
      <c r="L22" s="33">
        <f>IF(B22&lt;=5,Parametri!$B$58+(Parametri!$B$59-Parametri!$B$58)/5*B22,MIN(Parametri!$B$60,Parametri!$B$59+(Parametri!$B$60-Parametri!$B$59)/24*(B22-5)))</f>
        <v>0.8</v>
      </c>
      <c r="M22" s="29">
        <f t="shared" si="4"/>
        <v>14.435608515893311</v>
      </c>
      <c r="N22" s="34">
        <f>IF(B22&lt;Parametri!$B$76,Parametri!$B$75*Parametri!$B$74*Parametri!$B$73/Parametri!$B$76,0)</f>
        <v>0</v>
      </c>
      <c r="O22" s="35">
        <f>IF(B22&lt;10,Parametri!$B$53,IF(B22&lt;20,Parametri!$B$56,Parametri!$B$57))*M22*G22*Parametri!$B$72/1000</f>
        <v>6.2439781074644927</v>
      </c>
      <c r="P22" s="35">
        <f>MIN(Parametri!$B$81+Parametri!$B$82,
Parametri!$B$81+Parametri!$B$82*(B22+1)/Parametri!$B$83)</f>
        <v>12.5</v>
      </c>
      <c r="Q22" s="35">
        <f>-IF(B22&lt;10,Parametri!$B$51,IF(B22&lt;20,Parametri!$B$54,Parametri!$B$57))*M22*G22/1000</f>
        <v>-30.834459789948113</v>
      </c>
      <c r="R22" s="35">
        <f t="shared" si="5"/>
        <v>23.125844842461085</v>
      </c>
      <c r="S22" s="35">
        <f t="shared" si="8"/>
        <v>271.38206867409161</v>
      </c>
      <c r="T22" s="36">
        <f>-(Parametri!$B$86*(Parametri!$B$87*Parametri!$B$90+Parametri!$B$88*Parametri!$B$91+Parametri!$B$89*Parametri!$B$92)/1000000000)*MIN(B22+1,Parametri!$B$93)</f>
        <v>-2.85975</v>
      </c>
      <c r="U22" s="36">
        <f>IF(B22&lt;Parametri!$B$125,Parametri!$B$46,IF(B22&lt;Parametri!$B$126,Parametri!$B$47,Parametri!$B$48))*Parametri!$B$96*13/1000000000*((B22+1)*Parametri!$B$121+B22*(B22+1)/2*Parametri!$B$122)</f>
        <v>38.25599544</v>
      </c>
      <c r="V22" s="35">
        <f>IF(B22&gt;=Parametri!$B$103-1,Parametri!$B$102*(1-Parametri!$B$127)^(B22-(Parametri!$B$103-1)),0)</f>
        <v>4.6405255571782931</v>
      </c>
      <c r="W22" s="35">
        <f>IF(B22&gt;=Parametri!$B$105-1,Parametri!$B$104,0)</f>
        <v>5</v>
      </c>
      <c r="X22" s="35">
        <f>IF(B22&gt;=Parametri!$B$107-1,Parametri!$B$106+Parametri!$B$128*INT((B22-(Parametri!$B$107-1))/2),0)</f>
        <v>3.87</v>
      </c>
      <c r="Y22" s="34">
        <f>IF(AND(B22&gt;=Parametri!$B$109-1,B22&lt;Parametri!$B$109-1+Parametri!$B$140),Parametri!$B$108,0)</f>
        <v>0</v>
      </c>
      <c r="Z22" s="37">
        <f>IF(B22&lt;10,Parametri!$B$52,IF(B22&lt;20,Parametri!$B$55,0))*M22*G22/1000</f>
        <v>7.7086149474870282</v>
      </c>
      <c r="AA22" s="38">
        <f>Parametri!$B$159*Parametri!$B$160</f>
        <v>0</v>
      </c>
      <c r="AB22" s="39">
        <f>(SUM(Z$5:Z22)+SUM(AA$5:AA22)-SUM(Z$5:Z7)-SUM(AA$5:AA7))</f>
        <v>96.506175459503055</v>
      </c>
      <c r="AC22" s="40">
        <f>-(Parametri!$B$67*SUM(Z$5:Z22)+Parametri!$B$161*SUM(AA$5:AA22))</f>
        <v>-1.6093634059087958</v>
      </c>
      <c r="AD22" s="39">
        <f t="shared" si="10"/>
        <v>-4.1065441717499995</v>
      </c>
      <c r="AE22" s="41">
        <f t="shared" si="6"/>
        <v>38.808996684522903</v>
      </c>
      <c r="AF22" s="41">
        <f t="shared" si="9"/>
        <v>450.14777212114905</v>
      </c>
      <c r="AG22" s="42">
        <f t="shared" si="7"/>
        <v>-0.19123758894305512</v>
      </c>
      <c r="AH22" s="139">
        <f>SUM(Z$5:Z22)-SUM(Z$5:Z7)</f>
        <v>96.506175459503055</v>
      </c>
      <c r="AI22" s="139">
        <f t="shared" si="11"/>
        <v>-4.1065441717499995</v>
      </c>
    </row>
    <row r="23" spans="1:35" ht="15" customHeight="1" x14ac:dyDescent="0.2">
      <c r="A23" s="27">
        <f>Parametri!$B$6+B23</f>
        <v>2045</v>
      </c>
      <c r="B23" s="28">
        <v>18</v>
      </c>
      <c r="C23" s="29">
        <f>C22*(1+Parametri!$B$14)</f>
        <v>24.835248850495173</v>
      </c>
      <c r="D23" s="29">
        <f>D22*(1+Parametri!$B$15)+Parametri!$B$145*(1-Parametri!$B$15)^B22</f>
        <v>18.080552526458064</v>
      </c>
      <c r="E23" s="30">
        <f t="shared" si="0"/>
        <v>0.72801978491540531</v>
      </c>
      <c r="F23" s="31">
        <f>F22*(1+Parametri!$B$129)</f>
        <v>2360.9281937347328</v>
      </c>
      <c r="G23" s="32">
        <f>G22*(1+Parametri!$B$130)</f>
        <v>26700</v>
      </c>
      <c r="H23" s="31">
        <f t="shared" si="1"/>
        <v>386.01175967562881</v>
      </c>
      <c r="I23" s="33">
        <f>IF(B23&lt;=(Parametri!$B$35-Parametri!$B$6),Parametri!$B$32+(Parametri!$B$33-Parametri!$B$32)*B23/(Parametri!$B$35-Parametri!$B$6),Parametri!$B$33+(Parametri!$B$34-Parametri!$B$33)*(B23-(Parametri!$B$35-Parametri!$B$6))/(Parametri!$B$36-Parametri!$B$35))</f>
        <v>0.16350000000000001</v>
      </c>
      <c r="J23" s="31">
        <f t="shared" si="2"/>
        <v>344.70653305912901</v>
      </c>
      <c r="K23" s="33">
        <f t="shared" si="3"/>
        <v>0.14600466628925321</v>
      </c>
      <c r="L23" s="33">
        <f>IF(B23&lt;=5,Parametri!$B$58+(Parametri!$B$59-Parametri!$B$58)/5*B23,MIN(Parametri!$B$60,Parametri!$B$59+(Parametri!$B$60-Parametri!$B$59)/24*(B23-5)))</f>
        <v>0.81666666666666665</v>
      </c>
      <c r="M23" s="29">
        <f t="shared" si="4"/>
        <v>14.765784563274085</v>
      </c>
      <c r="N23" s="34">
        <f>IF(B23&lt;Parametri!$B$76,Parametri!$B$75*Parametri!$B$74*Parametri!$B$73/Parametri!$B$76,0)</f>
        <v>0</v>
      </c>
      <c r="O23" s="35">
        <f>IF(B23&lt;10,Parametri!$B$53,IF(B23&lt;20,Parametri!$B$56,Parametri!$B$57))*M23*G23*Parametri!$B$72/1000</f>
        <v>6.3867924549985737</v>
      </c>
      <c r="P23" s="35">
        <f>MIN(Parametri!$B$81+Parametri!$B$82,
Parametri!$B$81+Parametri!$B$82*(B23+1)/Parametri!$B$83)</f>
        <v>12.5</v>
      </c>
      <c r="Q23" s="35">
        <f>-IF(B23&lt;10,Parametri!$B$51,IF(B23&lt;20,Parametri!$B$54,Parametri!$B$57))*M23*G23/1000</f>
        <v>-31.539715827153444</v>
      </c>
      <c r="R23" s="35">
        <f t="shared" si="5"/>
        <v>23.654786870365083</v>
      </c>
      <c r="S23" s="35">
        <f t="shared" si="8"/>
        <v>295.03685554445667</v>
      </c>
      <c r="T23" s="36">
        <f>-(Parametri!$B$86*(Parametri!$B$87*Parametri!$B$90+Parametri!$B$88*Parametri!$B$91+Parametri!$B$89*Parametri!$B$92)/1000000000)*MIN(B23+1,Parametri!$B$93)</f>
        <v>-2.85975</v>
      </c>
      <c r="U23" s="36">
        <f>IF(B23&lt;Parametri!$B$125,Parametri!$B$46,IF(B23&lt;Parametri!$B$126,Parametri!$B$47,Parametri!$B$48))*Parametri!$B$96*13/1000000000*((B23+1)*Parametri!$B$121+B23*(B23+1)/2*Parametri!$B$122)</f>
        <v>41.840238959999994</v>
      </c>
      <c r="V23" s="35">
        <f>IF(B23&gt;=Parametri!$B$103-1,Parametri!$B$102*(1-Parametri!$B$127)^(B23-(Parametri!$B$103-1)),0)</f>
        <v>4.5709176738206194</v>
      </c>
      <c r="W23" s="35">
        <f>IF(B23&gt;=Parametri!$B$105-1,Parametri!$B$104,0)</f>
        <v>5</v>
      </c>
      <c r="X23" s="35">
        <f>IF(B23&gt;=Parametri!$B$107-1,Parametri!$B$106+Parametri!$B$128*INT((B23-(Parametri!$B$107-1))/2),0)</f>
        <v>3.87</v>
      </c>
      <c r="Y23" s="34">
        <f>IF(AND(B23&gt;=Parametri!$B$109-1,B23&lt;Parametri!$B$109-1+Parametri!$B$140),Parametri!$B$108,0)</f>
        <v>0</v>
      </c>
      <c r="Z23" s="37">
        <f>IF(B23&lt;10,Parametri!$B$52,IF(B23&lt;20,Parametri!$B$55,0))*M23*G23/1000</f>
        <v>7.8849289567883609</v>
      </c>
      <c r="AA23" s="38">
        <f>Parametri!$B$159*Parametri!$B$160</f>
        <v>0</v>
      </c>
      <c r="AB23" s="39">
        <f>(SUM(Z$5:Z23)+SUM(AA$5:AA23)-SUM(Z$5:Z8)-SUM(AA$5:AA8))</f>
        <v>99.770556154597728</v>
      </c>
      <c r="AC23" s="40">
        <f>-(Parametri!$B$67*SUM(Z$5:Z23)+Parametri!$B$161*SUM(AA$5:AA23))</f>
        <v>-1.7276373402606213</v>
      </c>
      <c r="AD23" s="39">
        <f t="shared" si="10"/>
        <v>-4.620548261693699</v>
      </c>
      <c r="AE23" s="41">
        <f t="shared" si="6"/>
        <v>41.30522661649978</v>
      </c>
      <c r="AF23" s="41">
        <f t="shared" si="9"/>
        <v>491.45299873764884</v>
      </c>
      <c r="AG23" s="42">
        <f t="shared" si="7"/>
        <v>-0.20816092587730228</v>
      </c>
      <c r="AH23" s="139">
        <f>SUM(Z$5:Z23)-SUM(Z$5:Z8)</f>
        <v>99.770556154597728</v>
      </c>
      <c r="AI23" s="139">
        <f t="shared" si="11"/>
        <v>-4.620548261693699</v>
      </c>
    </row>
    <row r="24" spans="1:35" ht="15" customHeight="1" x14ac:dyDescent="0.2">
      <c r="A24" s="27">
        <f>Parametri!$B$6+B24</f>
        <v>2046</v>
      </c>
      <c r="B24" s="28">
        <v>19</v>
      </c>
      <c r="C24" s="29">
        <f>C23*(1+Parametri!$B$14)</f>
        <v>24.984260343598145</v>
      </c>
      <c r="D24" s="29">
        <f>D23*(1+Parametri!$B$15)+Parametri!$B$145*(1-Parametri!$B$15)^B23</f>
        <v>18.117045520815612</v>
      </c>
      <c r="E24" s="30">
        <f t="shared" si="0"/>
        <v>0.72513835797655879</v>
      </c>
      <c r="F24" s="31">
        <f>F23*(1+Parametri!$B$129)</f>
        <v>2368.0109783159369</v>
      </c>
      <c r="G24" s="32">
        <f>G23*(1+Parametri!$B$130)</f>
        <v>26700</v>
      </c>
      <c r="H24" s="31">
        <f t="shared" si="1"/>
        <v>383.61777848718179</v>
      </c>
      <c r="I24" s="33">
        <f>IF(B24&lt;=(Parametri!$B$35-Parametri!$B$6),Parametri!$B$32+(Parametri!$B$33-Parametri!$B$32)*B24/(Parametri!$B$35-Parametri!$B$6),Parametri!$B$33+(Parametri!$B$34-Parametri!$B$33)*(B24-(Parametri!$B$35-Parametri!$B$6))/(Parametri!$B$36-Parametri!$B$35))</f>
        <v>0.16200000000000001</v>
      </c>
      <c r="J24" s="31">
        <f t="shared" si="2"/>
        <v>339.52803239553782</v>
      </c>
      <c r="K24" s="33">
        <f t="shared" si="3"/>
        <v>0.14338110570627532</v>
      </c>
      <c r="L24" s="33">
        <f>IF(B24&lt;=5,Parametri!$B$58+(Parametri!$B$59-Parametri!$B$58)/5*B24,MIN(Parametri!$B$60,Parametri!$B$59+(Parametri!$B$60-Parametri!$B$59)/24*(B24-5)))</f>
        <v>0.83333333333333326</v>
      </c>
      <c r="M24" s="29">
        <f t="shared" si="4"/>
        <v>15.097537934013008</v>
      </c>
      <c r="N24" s="34">
        <f>IF(B24&lt;Parametri!$B$76,Parametri!$B$75*Parametri!$B$74*Parametri!$B$73/Parametri!$B$76,0)</f>
        <v>0</v>
      </c>
      <c r="O24" s="35">
        <f>IF(B24&lt;10,Parametri!$B$53,IF(B24&lt;20,Parametri!$B$56,Parametri!$B$57))*M24*G24*Parametri!$B$72/1000</f>
        <v>6.5302890579779866</v>
      </c>
      <c r="P24" s="35">
        <f>MIN(Parametri!$B$81+Parametri!$B$82,
Parametri!$B$81+Parametri!$B$82*(B24+1)/Parametri!$B$83)</f>
        <v>12.5</v>
      </c>
      <c r="Q24" s="35">
        <f>-IF(B24&lt;10,Parametri!$B$51,IF(B24&lt;20,Parametri!$B$54,Parametri!$B$57))*M24*G24/1000</f>
        <v>-32.248341027051787</v>
      </c>
      <c r="R24" s="35">
        <f t="shared" si="5"/>
        <v>24.186255770288838</v>
      </c>
      <c r="S24" s="35">
        <f t="shared" si="8"/>
        <v>319.22311131474549</v>
      </c>
      <c r="T24" s="36">
        <f>-(Parametri!$B$86*(Parametri!$B$87*Parametri!$B$90+Parametri!$B$88*Parametri!$B$91+Parametri!$B$89*Parametri!$B$92)/1000000000)*MIN(B24+1,Parametri!$B$93)</f>
        <v>-2.85975</v>
      </c>
      <c r="U24" s="36">
        <f>IF(B24&lt;Parametri!$B$125,Parametri!$B$46,IF(B24&lt;Parametri!$B$126,Parametri!$B$47,Parametri!$B$48))*Parametri!$B$96*13/1000000000*((B24+1)*Parametri!$B$121+B24*(B24+1)/2*Parametri!$B$122)</f>
        <v>45.578052</v>
      </c>
      <c r="V24" s="35">
        <f>IF(B24&gt;=Parametri!$B$103-1,Parametri!$B$102*(1-Parametri!$B$127)^(B24-(Parametri!$B$103-1)),0)</f>
        <v>4.5023539087133102</v>
      </c>
      <c r="W24" s="35">
        <f>IF(B24&gt;=Parametri!$B$105-1,Parametri!$B$104,0)</f>
        <v>5</v>
      </c>
      <c r="X24" s="35">
        <f>IF(B24&gt;=Parametri!$B$107-1,Parametri!$B$106+Parametri!$B$128*INT((B24-(Parametri!$B$107-1))/2),0)</f>
        <v>4.01</v>
      </c>
      <c r="Y24" s="34">
        <f>IF(AND(B24&gt;=Parametri!$B$109-1,B24&lt;Parametri!$B$109-1+Parametri!$B$140),Parametri!$B$108,0)</f>
        <v>0</v>
      </c>
      <c r="Z24" s="37">
        <f>IF(B24&lt;10,Parametri!$B$52,IF(B24&lt;20,Parametri!$B$55,0))*M24*G24/1000</f>
        <v>8.0620852567629466</v>
      </c>
      <c r="AA24" s="38">
        <f>Parametri!$B$159*Parametri!$B$160</f>
        <v>0</v>
      </c>
      <c r="AB24" s="39">
        <f>(SUM(Z$5:Z24)+SUM(AA$5:AA24)-SUM(Z$5:Z9)-SUM(AA$5:AA9))</f>
        <v>102.69626692571428</v>
      </c>
      <c r="AC24" s="40">
        <f>-(Parametri!$B$67*SUM(Z$5:Z24)+Parametri!$B$161*SUM(AA$5:AA24))</f>
        <v>-1.8485686191120654</v>
      </c>
      <c r="AD24" s="39">
        <f t="shared" si="10"/>
        <v>-5.1363744856463818</v>
      </c>
      <c r="AE24" s="41">
        <f t="shared" si="6"/>
        <v>44.089746091644002</v>
      </c>
      <c r="AF24" s="41">
        <f t="shared" si="9"/>
        <v>535.54274482929281</v>
      </c>
      <c r="AG24" s="42">
        <f t="shared" si="7"/>
        <v>-0.22615720523819355</v>
      </c>
      <c r="AH24" s="139">
        <f>SUM(Z$5:Z24)-SUM(Z$5:Z9)</f>
        <v>102.69626692571428</v>
      </c>
      <c r="AI24" s="139">
        <f t="shared" si="11"/>
        <v>-5.1363744856463818</v>
      </c>
    </row>
    <row r="25" spans="1:35" ht="15" customHeight="1" x14ac:dyDescent="0.2">
      <c r="A25" s="27">
        <f>Parametri!$B$6+B25</f>
        <v>2047</v>
      </c>
      <c r="B25" s="28">
        <v>20</v>
      </c>
      <c r="C25" s="29">
        <f>C24*(1+Parametri!$B$14)</f>
        <v>25.134165905659735</v>
      </c>
      <c r="D25" s="29">
        <f>D24*(1+Parametri!$B$15)+Parametri!$B$145*(1-Parametri!$B$15)^B24</f>
        <v>18.15399052898632</v>
      </c>
      <c r="E25" s="30">
        <f t="shared" si="0"/>
        <v>0.72228338895854849</v>
      </c>
      <c r="F25" s="31">
        <f>F24*(1+Parametri!$B$129)</f>
        <v>2375.1150112508844</v>
      </c>
      <c r="G25" s="32">
        <f>G24*(1+Parametri!$B$130)</f>
        <v>26700</v>
      </c>
      <c r="H25" s="31">
        <f t="shared" si="1"/>
        <v>381.20595930576695</v>
      </c>
      <c r="I25" s="33">
        <f>IF(B25&lt;=(Parametri!$B$35-Parametri!$B$6),Parametri!$B$32+(Parametri!$B$33-Parametri!$B$32)*B25/(Parametri!$B$35-Parametri!$B$6),Parametri!$B$33+(Parametri!$B$34-Parametri!$B$33)*(B25-(Parametri!$B$35-Parametri!$B$6))/(Parametri!$B$36-Parametri!$B$35))</f>
        <v>0.1605</v>
      </c>
      <c r="J25" s="31">
        <f t="shared" si="2"/>
        <v>343.22280216431011</v>
      </c>
      <c r="K25" s="33">
        <f t="shared" si="3"/>
        <v>0.14450786616162536</v>
      </c>
      <c r="L25" s="33">
        <f>IF(B25&lt;=5,Parametri!$B$58+(Parametri!$B$59-Parametri!$B$58)/5*B25,MIN(Parametri!$B$60,Parametri!$B$59+(Parametri!$B$60-Parametri!$B$59)/24*(B25-5)))</f>
        <v>0.85</v>
      </c>
      <c r="M25" s="29">
        <f t="shared" si="4"/>
        <v>15.430891949638372</v>
      </c>
      <c r="N25" s="34">
        <f>IF(B25&lt;Parametri!$B$76,Parametri!$B$75*Parametri!$B$74*Parametri!$B$73/Parametri!$B$76,0)</f>
        <v>0</v>
      </c>
      <c r="O25" s="35">
        <f>IF(B25&lt;10,Parametri!$B$53,IF(B25&lt;20,Parametri!$B$56,Parametri!$B$57))*M25*G25*Parametri!$B$72/1000</f>
        <v>10.011717005844872</v>
      </c>
      <c r="P25" s="35">
        <f>MIN(Parametri!$B$81+Parametri!$B$82,
Parametri!$B$81+Parametri!$B$82*(B25+1)/Parametri!$B$83)</f>
        <v>12.5</v>
      </c>
      <c r="Q25" s="35">
        <f>-IF(B25&lt;10,Parametri!$B$51,IF(B25&lt;20,Parametri!$B$54,Parametri!$B$57))*M25*G25/1000</f>
        <v>-37.080433354981004</v>
      </c>
      <c r="R25" s="35">
        <f t="shared" si="5"/>
        <v>37.080433354981004</v>
      </c>
      <c r="S25" s="35">
        <f t="shared" si="8"/>
        <v>356.30354466972648</v>
      </c>
      <c r="T25" s="36">
        <f>-(Parametri!$B$86*(Parametri!$B$87*Parametri!$B$90+Parametri!$B$88*Parametri!$B$91+Parametri!$B$89*Parametri!$B$92)/1000000000)*MIN(B25+1,Parametri!$B$93)</f>
        <v>-2.85975</v>
      </c>
      <c r="U25" s="36">
        <f>IF(B25&lt;Parametri!$B$125,Parametri!$B$46,IF(B25&lt;Parametri!$B$126,Parametri!$B$47,Parametri!$B$48))*Parametri!$B$96*13/1000000000*((B25+1)*Parametri!$B$121+B25*(B25+1)/2*Parametri!$B$122)</f>
        <v>49.469434559999996</v>
      </c>
      <c r="V25" s="35">
        <f>IF(B25&gt;=Parametri!$B$103-1,Parametri!$B$102*(1-Parametri!$B$127)^(B25-(Parametri!$B$103-1)),0)</f>
        <v>4.4348186000826111</v>
      </c>
      <c r="W25" s="35">
        <f>IF(B25&gt;=Parametri!$B$105-1,Parametri!$B$104,0)</f>
        <v>5</v>
      </c>
      <c r="X25" s="35">
        <f>IF(B25&gt;=Parametri!$B$107-1,Parametri!$B$106+Parametri!$B$128*INT((B25-(Parametri!$B$107-1))/2),0)</f>
        <v>4.01</v>
      </c>
      <c r="Y25" s="34">
        <f>IF(AND(B25&gt;=Parametri!$B$109-1,B25&lt;Parametri!$B$109-1+Parametri!$B$140),Parametri!$B$108,0)</f>
        <v>0</v>
      </c>
      <c r="Z25" s="37">
        <f>IF(B25&lt;10,Parametri!$B$52,IF(B25&lt;20,Parametri!$B$55,0))*M25*G25/1000</f>
        <v>0</v>
      </c>
      <c r="AA25" s="38">
        <f>Parametri!$B$159*Parametri!$B$160</f>
        <v>0</v>
      </c>
      <c r="AB25" s="39">
        <f>(SUM(Z$5:Z25)+SUM(AA$5:AA25)-SUM(Z$5:Z10)-SUM(AA$5:AA10))</f>
        <v>97.042205875336691</v>
      </c>
      <c r="AC25" s="40">
        <f>-(Parametri!$B$67*SUM(Z$5:Z25)+Parametri!$B$161*SUM(AA$5:AA25))</f>
        <v>-1.8485686191120654</v>
      </c>
      <c r="AD25" s="39">
        <f t="shared" si="10"/>
        <v>-5.6540610503775817</v>
      </c>
      <c r="AE25" s="41">
        <f t="shared" si="6"/>
        <v>37.983157141456829</v>
      </c>
      <c r="AF25" s="41">
        <f t="shared" si="9"/>
        <v>573.5259019707496</v>
      </c>
      <c r="AG25" s="42">
        <f t="shared" si="7"/>
        <v>-0.24147289678772016</v>
      </c>
      <c r="AH25" s="139">
        <f>SUM(Z$5:Z25)-SUM(Z$5:Z10)</f>
        <v>97.042205875336691</v>
      </c>
      <c r="AI25" s="139">
        <f t="shared" si="11"/>
        <v>-5.6540610503775817</v>
      </c>
    </row>
    <row r="26" spans="1:35" ht="15" customHeight="1" x14ac:dyDescent="0.2">
      <c r="A26" s="27">
        <f>Parametri!$B$6+B26</f>
        <v>2048</v>
      </c>
      <c r="B26" s="28">
        <v>21</v>
      </c>
      <c r="C26" s="29">
        <f>C25*(1+Parametri!$B$14)</f>
        <v>25.284970901093693</v>
      </c>
      <c r="D26" s="29">
        <f>D25*(1+Parametri!$B$15)+Parametri!$B$145*(1-Parametri!$B$15)^B25</f>
        <v>18.191388463295052</v>
      </c>
      <c r="E26" s="30">
        <f t="shared" si="0"/>
        <v>0.71945459357867758</v>
      </c>
      <c r="F26" s="31">
        <f>F25*(1+Parametri!$B$129)</f>
        <v>2382.2403562846366</v>
      </c>
      <c r="G26" s="32">
        <f>G25*(1+Parametri!$B$130)</f>
        <v>26700</v>
      </c>
      <c r="H26" s="31">
        <f t="shared" si="1"/>
        <v>378.77621664925721</v>
      </c>
      <c r="I26" s="33">
        <f>IF(B26&lt;=(Parametri!$B$35-Parametri!$B$6),Parametri!$B$32+(Parametri!$B$33-Parametri!$B$32)*B26/(Parametri!$B$35-Parametri!$B$6),Parametri!$B$33+(Parametri!$B$34-Parametri!$B$33)*(B26-(Parametri!$B$35-Parametri!$B$6))/(Parametri!$B$36-Parametri!$B$35))</f>
        <v>0.159</v>
      </c>
      <c r="J26" s="31">
        <f t="shared" si="2"/>
        <v>337.42940988309454</v>
      </c>
      <c r="K26" s="33">
        <f t="shared" si="3"/>
        <v>0.1416437300261979</v>
      </c>
      <c r="L26" s="33">
        <f>IF(B26&lt;=5,Parametri!$B$58+(Parametri!$B$59-Parametri!$B$58)/5*B26,MIN(Parametri!$B$60,Parametri!$B$59+(Parametri!$B$60-Parametri!$B$59)/24*(B26-5)))</f>
        <v>0.8666666666666667</v>
      </c>
      <c r="M26" s="29">
        <f t="shared" si="4"/>
        <v>15.765870001522378</v>
      </c>
      <c r="N26" s="34">
        <f>IF(B26&lt;Parametri!$B$76,Parametri!$B$75*Parametri!$B$74*Parametri!$B$73/Parametri!$B$76,0)</f>
        <v>0</v>
      </c>
      <c r="O26" s="35">
        <f>IF(B26&lt;10,Parametri!$B$53,IF(B26&lt;20,Parametri!$B$56,Parametri!$B$57))*M26*G26*Parametri!$B$72/1000</f>
        <v>10.229054115687735</v>
      </c>
      <c r="P26" s="35">
        <f>MIN(Parametri!$B$81+Parametri!$B$82,
Parametri!$B$81+Parametri!$B$82*(B26+1)/Parametri!$B$83)</f>
        <v>12.5</v>
      </c>
      <c r="Q26" s="35">
        <f>-IF(B26&lt;10,Parametri!$B$51,IF(B26&lt;20,Parametri!$B$54,Parametri!$B$57))*M26*G26/1000</f>
        <v>-37.885385613658279</v>
      </c>
      <c r="R26" s="35">
        <f t="shared" si="5"/>
        <v>37.885385613658279</v>
      </c>
      <c r="S26" s="35">
        <f t="shared" si="8"/>
        <v>394.18893028338476</v>
      </c>
      <c r="T26" s="36">
        <f>-(Parametri!$B$86*(Parametri!$B$87*Parametri!$B$90+Parametri!$B$88*Parametri!$B$91+Parametri!$B$89*Parametri!$B$92)/1000000000)*MIN(B26+1,Parametri!$B$93)</f>
        <v>-2.85975</v>
      </c>
      <c r="U26" s="36">
        <f>IF(B26&lt;Parametri!$B$125,Parametri!$B$46,IF(B26&lt;Parametri!$B$126,Parametri!$B$47,Parametri!$B$48))*Parametri!$B$96*13/1000000000*((B26+1)*Parametri!$B$121+B26*(B26+1)/2*Parametri!$B$122)</f>
        <v>53.514386639999998</v>
      </c>
      <c r="V26" s="35">
        <f>IF(B26&gt;=Parametri!$B$103-1,Parametri!$B$102*(1-Parametri!$B$127)^(B26-(Parametri!$B$103-1)),0)</f>
        <v>4.3682963210813712</v>
      </c>
      <c r="W26" s="35">
        <f>IF(B26&gt;=Parametri!$B$105-1,Parametri!$B$104,0)</f>
        <v>5</v>
      </c>
      <c r="X26" s="35">
        <f>IF(B26&gt;=Parametri!$B$107-1,Parametri!$B$106+Parametri!$B$128*INT((B26-(Parametri!$B$107-1))/2),0)</f>
        <v>4.1500000000000004</v>
      </c>
      <c r="Y26" s="34">
        <f>IF(AND(B26&gt;=Parametri!$B$109-1,B26&lt;Parametri!$B$109-1+Parametri!$B$140),Parametri!$B$108,0)</f>
        <v>0</v>
      </c>
      <c r="Z26" s="37">
        <f>IF(B26&lt;10,Parametri!$B$52,IF(B26&lt;20,Parametri!$B$55,0))*M26*G26/1000</f>
        <v>0</v>
      </c>
      <c r="AA26" s="38">
        <f>Parametri!$B$159*Parametri!$B$160</f>
        <v>0</v>
      </c>
      <c r="AB26" s="39">
        <f>(SUM(Z$5:Z26)+SUM(AA$5:AA26)-SUM(Z$5:Z11)-SUM(AA$5:AA11))</f>
        <v>91.220979797500632</v>
      </c>
      <c r="AC26" s="40">
        <f>-(Parametri!$B$67*SUM(Z$5:Z26)+Parametri!$B$161*SUM(AA$5:AA26))</f>
        <v>-1.8485686191120654</v>
      </c>
      <c r="AD26" s="39">
        <f t="shared" si="10"/>
        <v>-5.8212260778360658</v>
      </c>
      <c r="AE26" s="41">
        <f t="shared" si="6"/>
        <v>41.346806766162693</v>
      </c>
      <c r="AF26" s="41">
        <f t="shared" si="9"/>
        <v>614.87270873691227</v>
      </c>
      <c r="AG26" s="42">
        <f t="shared" si="7"/>
        <v>-0.2581069148269628</v>
      </c>
      <c r="AH26" s="139">
        <f>SUM(Z$5:Z26)-SUM(Z$5:Z11)</f>
        <v>91.220979797500632</v>
      </c>
      <c r="AI26" s="139">
        <f t="shared" si="11"/>
        <v>-5.8212260778360658</v>
      </c>
    </row>
    <row r="27" spans="1:35" ht="15" customHeight="1" x14ac:dyDescent="0.2">
      <c r="A27" s="27">
        <f>Parametri!$B$6+B27</f>
        <v>2049</v>
      </c>
      <c r="B27" s="28">
        <v>22</v>
      </c>
      <c r="C27" s="29">
        <f>C26*(1+Parametri!$B$14)</f>
        <v>25.436680726500256</v>
      </c>
      <c r="D27" s="29">
        <f>D26*(1+Parametri!$B$15)+Parametri!$B$145*(1-Parametri!$B$15)^B26</f>
        <v>18.229240247367006</v>
      </c>
      <c r="E27" s="30">
        <f t="shared" si="0"/>
        <v>0.71665169065771828</v>
      </c>
      <c r="F27" s="31">
        <f>F26*(1+Parametri!$B$129)</f>
        <v>2389.3870773534904</v>
      </c>
      <c r="G27" s="32">
        <f>G26*(1+Parametri!$B$130)</f>
        <v>26700</v>
      </c>
      <c r="H27" s="31">
        <f t="shared" si="1"/>
        <v>376.32846468317473</v>
      </c>
      <c r="I27" s="33">
        <f>IF(B27&lt;=(Parametri!$B$35-Parametri!$B$6),Parametri!$B$32+(Parametri!$B$33-Parametri!$B$32)*B27/(Parametri!$B$35-Parametri!$B$6),Parametri!$B$33+(Parametri!$B$34-Parametri!$B$33)*(B27-(Parametri!$B$35-Parametri!$B$6))/(Parametri!$B$36-Parametri!$B$35))</f>
        <v>0.1575</v>
      </c>
      <c r="J27" s="31">
        <f t="shared" si="2"/>
        <v>331.60702653406219</v>
      </c>
      <c r="K27" s="33">
        <f t="shared" si="3"/>
        <v>0.13878330123947666</v>
      </c>
      <c r="L27" s="33">
        <f>IF(B27&lt;=5,Parametri!$B$58+(Parametri!$B$59-Parametri!$B$58)/5*B27,MIN(Parametri!$B$60,Parametri!$B$59+(Parametri!$B$60-Parametri!$B$59)/24*(B27-5)))</f>
        <v>0.8833333333333333</v>
      </c>
      <c r="M27" s="29">
        <f t="shared" si="4"/>
        <v>16.102495551840853</v>
      </c>
      <c r="N27" s="34">
        <f>IF(B27&lt;Parametri!$B$76,Parametri!$B$75*Parametri!$B$74*Parametri!$B$73/Parametri!$B$76,0)</f>
        <v>0</v>
      </c>
      <c r="O27" s="35">
        <f>IF(B27&lt;10,Parametri!$B$53,IF(B27&lt;20,Parametri!$B$56,Parametri!$B$57))*M27*G27*Parametri!$B$72/1000</f>
        <v>10.447460138989863</v>
      </c>
      <c r="P27" s="35">
        <f>MIN(Parametri!$B$81+Parametri!$B$82,
Parametri!$B$81+Parametri!$B$82*(B27+1)/Parametri!$B$83)</f>
        <v>12.5</v>
      </c>
      <c r="Q27" s="35">
        <f>-IF(B27&lt;10,Parametri!$B$51,IF(B27&lt;20,Parametri!$B$54,Parametri!$B$57))*M27*G27/1000</f>
        <v>-38.694296811073571</v>
      </c>
      <c r="R27" s="35">
        <f t="shared" si="5"/>
        <v>38.694296811073571</v>
      </c>
      <c r="S27" s="35">
        <f t="shared" si="8"/>
        <v>432.88322709445833</v>
      </c>
      <c r="T27" s="36">
        <f>-(Parametri!$B$86*(Parametri!$B$87*Parametri!$B$90+Parametri!$B$88*Parametri!$B$91+Parametri!$B$89*Parametri!$B$92)/1000000000)*MIN(B27+1,Parametri!$B$93)</f>
        <v>-2.85975</v>
      </c>
      <c r="U27" s="36">
        <f>IF(B27&lt;Parametri!$B$125,Parametri!$B$46,IF(B27&lt;Parametri!$B$126,Parametri!$B$47,Parametri!$B$48))*Parametri!$B$96*13/1000000000*((B27+1)*Parametri!$B$121+B27*(B27+1)/2*Parametri!$B$122)</f>
        <v>57.712908239999997</v>
      </c>
      <c r="V27" s="35">
        <f>IF(B27&gt;=Parametri!$B$103-1,Parametri!$B$102*(1-Parametri!$B$127)^(B27-(Parametri!$B$103-1)),0)</f>
        <v>4.302771876265151</v>
      </c>
      <c r="W27" s="35">
        <f>IF(B27&gt;=Parametri!$B$105-1,Parametri!$B$104,0)</f>
        <v>5</v>
      </c>
      <c r="X27" s="35">
        <f>IF(B27&gt;=Parametri!$B$107-1,Parametri!$B$106+Parametri!$B$128*INT((B27-(Parametri!$B$107-1))/2),0)</f>
        <v>4.1500000000000004</v>
      </c>
      <c r="Y27" s="34">
        <f>IF(AND(B27&gt;=Parametri!$B$109-1,B27&lt;Parametri!$B$109-1+Parametri!$B$140),Parametri!$B$108,0)</f>
        <v>0</v>
      </c>
      <c r="Z27" s="37">
        <f>IF(B27&lt;10,Parametri!$B$52,IF(B27&lt;20,Parametri!$B$55,0))*M27*G27/1000</f>
        <v>0</v>
      </c>
      <c r="AA27" s="38">
        <f>Parametri!$B$159*Parametri!$B$160</f>
        <v>0</v>
      </c>
      <c r="AB27" s="39">
        <f>(SUM(Z$5:Z27)+SUM(AA$5:AA27)-SUM(Z$5:Z12)-SUM(AA$5:AA12))</f>
        <v>85.231893121543791</v>
      </c>
      <c r="AC27" s="40">
        <f>-(Parametri!$B$67*SUM(Z$5:Z27)+Parametri!$B$161*SUM(AA$5:AA27))</f>
        <v>-1.8485686191120654</v>
      </c>
      <c r="AD27" s="39">
        <f t="shared" si="10"/>
        <v>-5.9890866759568429</v>
      </c>
      <c r="AE27" s="41">
        <f t="shared" si="6"/>
        <v>44.721438149112529</v>
      </c>
      <c r="AF27" s="41">
        <f t="shared" si="9"/>
        <v>659.59414688602476</v>
      </c>
      <c r="AG27" s="42">
        <f t="shared" si="7"/>
        <v>-0.2760516088571961</v>
      </c>
      <c r="AH27" s="139">
        <f>SUM(Z$5:Z27)-SUM(Z$5:Z12)</f>
        <v>85.231893121543791</v>
      </c>
      <c r="AI27" s="139">
        <f t="shared" si="11"/>
        <v>-5.9890866759568429</v>
      </c>
    </row>
    <row r="28" spans="1:35" ht="15" customHeight="1" x14ac:dyDescent="0.2">
      <c r="A28" s="27">
        <f>Parametri!$B$6+B28</f>
        <v>2050</v>
      </c>
      <c r="B28" s="28">
        <v>23</v>
      </c>
      <c r="C28" s="29">
        <f>C27*(1+Parametri!$B$14)</f>
        <v>25.589300810859257</v>
      </c>
      <c r="D28" s="29">
        <f>D27*(1+Parametri!$B$15)+Parametri!$B$145*(1-Parametri!$B$15)^B27</f>
        <v>18.267546816150542</v>
      </c>
      <c r="E28" s="30">
        <f t="shared" si="0"/>
        <v>0.71387440208598418</v>
      </c>
      <c r="F28" s="31">
        <f>F27*(1+Parametri!$B$129)</f>
        <v>2396.5552385855508</v>
      </c>
      <c r="G28" s="32">
        <f>G27*(1+Parametri!$B$130)</f>
        <v>26700</v>
      </c>
      <c r="H28" s="31">
        <f t="shared" si="1"/>
        <v>373.86261721934591</v>
      </c>
      <c r="I28" s="33">
        <f>IF(B28&lt;=(Parametri!$B$35-Parametri!$B$6),Parametri!$B$32+(Parametri!$B$33-Parametri!$B$32)*B28/(Parametri!$B$35-Parametri!$B$6),Parametri!$B$33+(Parametri!$B$34-Parametri!$B$33)*(B28-(Parametri!$B$35-Parametri!$B$6))/(Parametri!$B$36-Parametri!$B$35))</f>
        <v>0.156</v>
      </c>
      <c r="J28" s="31">
        <f t="shared" si="2"/>
        <v>325.47563422520494</v>
      </c>
      <c r="K28" s="33">
        <f t="shared" si="3"/>
        <v>0.13580977771132077</v>
      </c>
      <c r="L28" s="33">
        <f>IF(B28&lt;=5,Parametri!$B$58+(Parametri!$B$59-Parametri!$B$58)/5*B28,MIN(Parametri!$B$60,Parametri!$B$59+(Parametri!$B$60-Parametri!$B$59)/24*(B28-5)))</f>
        <v>0.89999999999999991</v>
      </c>
      <c r="M28" s="29">
        <f t="shared" si="4"/>
        <v>16.440792134535485</v>
      </c>
      <c r="N28" s="34">
        <f>IF(B28&lt;Parametri!$B$76,Parametri!$B$75*Parametri!$B$74*Parametri!$B$73/Parametri!$B$76,0)</f>
        <v>0</v>
      </c>
      <c r="O28" s="35">
        <f>IF(B28&lt;10,Parametri!$B$53,IF(B28&lt;20,Parametri!$B$56,Parametri!$B$57))*M28*G28*Parametri!$B$72/1000</f>
        <v>10.666950344807969</v>
      </c>
      <c r="P28" s="35">
        <f>MIN(Parametri!$B$81+Parametri!$B$82,
Parametri!$B$81+Parametri!$B$82*(B28+1)/Parametri!$B$83)</f>
        <v>12.5</v>
      </c>
      <c r="Q28" s="35">
        <f>-IF(B28&lt;10,Parametri!$B$51,IF(B28&lt;20,Parametri!$B$54,Parametri!$B$57))*M28*G28/1000</f>
        <v>-39.50722349928877</v>
      </c>
      <c r="R28" s="35">
        <f t="shared" si="5"/>
        <v>39.50722349928877</v>
      </c>
      <c r="S28" s="35">
        <f t="shared" si="8"/>
        <v>472.39045059374712</v>
      </c>
      <c r="T28" s="36">
        <f>-(Parametri!$B$86*(Parametri!$B$87*Parametri!$B$90+Parametri!$B$88*Parametri!$B$91+Parametri!$B$89*Parametri!$B$92)/1000000000)*MIN(B28+1,Parametri!$B$93)</f>
        <v>-2.85975</v>
      </c>
      <c r="U28" s="36">
        <f>IF(B28&lt;Parametri!$B$125,Parametri!$B$46,IF(B28&lt;Parametri!$B$126,Parametri!$B$47,Parametri!$B$48))*Parametri!$B$96*13/1000000000*((B28+1)*Parametri!$B$121+B28*(B28+1)/2*Parametri!$B$122)</f>
        <v>62.064999359999995</v>
      </c>
      <c r="V28" s="35">
        <f>IF(B28&gt;=Parametri!$B$103-1,Parametri!$B$102*(1-Parametri!$B$127)^(B28-(Parametri!$B$103-1)),0)</f>
        <v>4.2382302981211737</v>
      </c>
      <c r="W28" s="35">
        <f>IF(B28&gt;=Parametri!$B$105-1,Parametri!$B$104,0)</f>
        <v>5</v>
      </c>
      <c r="X28" s="35">
        <f>IF(B28&gt;=Parametri!$B$107-1,Parametri!$B$106+Parametri!$B$128*INT((B28-(Parametri!$B$107-1))/2),0)</f>
        <v>4.29</v>
      </c>
      <c r="Y28" s="34">
        <f>IF(AND(B28&gt;=Parametri!$B$109-1,B28&lt;Parametri!$B$109-1+Parametri!$B$140),Parametri!$B$108,0)</f>
        <v>0</v>
      </c>
      <c r="Z28" s="37">
        <f>IF(B28&lt;10,Parametri!$B$52,IF(B28&lt;20,Parametri!$B$55,0))*M28*G28/1000</f>
        <v>0</v>
      </c>
      <c r="AA28" s="38">
        <f>Parametri!$B$159*Parametri!$B$160</f>
        <v>0</v>
      </c>
      <c r="AB28" s="39">
        <f>(SUM(Z$5:Z28)+SUM(AA$5:AA28)-SUM(Z$5:Z13)-SUM(AA$5:AA13))</f>
        <v>79.074238231156471</v>
      </c>
      <c r="AC28" s="40">
        <f>-(Parametri!$B$67*SUM(Z$5:Z28)+Parametri!$B$161*SUM(AA$5:AA28))</f>
        <v>-1.8485686191120654</v>
      </c>
      <c r="AD28" s="39">
        <f t="shared" si="10"/>
        <v>-6.1576548903873283</v>
      </c>
      <c r="AE28" s="41">
        <f t="shared" si="6"/>
        <v>48.386982994140972</v>
      </c>
      <c r="AF28" s="41">
        <f t="shared" si="9"/>
        <v>707.98112988016578</v>
      </c>
      <c r="AG28" s="42">
        <f t="shared" si="7"/>
        <v>-0.2954161533526834</v>
      </c>
      <c r="AH28" s="139">
        <f>SUM(Z$5:Z28)-SUM(Z$5:Z13)</f>
        <v>79.074238231156471</v>
      </c>
      <c r="AI28" s="139">
        <f t="shared" si="11"/>
        <v>-6.1576548903873283</v>
      </c>
    </row>
    <row r="29" spans="1:35" ht="15" customHeight="1" x14ac:dyDescent="0.2">
      <c r="A29" s="27">
        <f>Parametri!$B$6+B29</f>
        <v>2051</v>
      </c>
      <c r="B29" s="28">
        <v>24</v>
      </c>
      <c r="C29" s="29">
        <f>C28*(1+Parametri!$B$14)</f>
        <v>25.742836615724414</v>
      </c>
      <c r="D29" s="29">
        <f>D28*(1+Parametri!$B$15)+Parametri!$B$145*(1-Parametri!$B$15)^B28</f>
        <v>18.306309115940262</v>
      </c>
      <c r="E29" s="30">
        <f t="shared" si="0"/>
        <v>0.7111224527897706</v>
      </c>
      <c r="F29" s="31">
        <f>F28*(1+Parametri!$B$129)</f>
        <v>2403.7449043013071</v>
      </c>
      <c r="G29" s="32">
        <f>G28*(1+Parametri!$B$130)</f>
        <v>26700</v>
      </c>
      <c r="H29" s="31">
        <f t="shared" si="1"/>
        <v>371.37858771455194</v>
      </c>
      <c r="I29" s="33">
        <f>IF(B29&lt;=(Parametri!$B$35-Parametri!$B$6),Parametri!$B$32+(Parametri!$B$33-Parametri!$B$32)*B29/(Parametri!$B$35-Parametri!$B$6),Parametri!$B$33+(Parametri!$B$34-Parametri!$B$33)*(B29-(Parametri!$B$35-Parametri!$B$6))/(Parametri!$B$36-Parametri!$B$35))</f>
        <v>0.1545</v>
      </c>
      <c r="J29" s="31">
        <f t="shared" si="2"/>
        <v>319.31521464378466</v>
      </c>
      <c r="K29" s="33">
        <f t="shared" si="3"/>
        <v>0.13284072451797854</v>
      </c>
      <c r="L29" s="33">
        <f>IF(B29&lt;=5,Parametri!$B$58+(Parametri!$B$59-Parametri!$B$58)/5*B29,MIN(Parametri!$B$60,Parametri!$B$59+(Parametri!$B$60-Parametri!$B$59)/24*(B29-5)))</f>
        <v>0.91666666666666663</v>
      </c>
      <c r="M29" s="29">
        <f t="shared" si="4"/>
        <v>16.780783356278572</v>
      </c>
      <c r="N29" s="34">
        <f>IF(B29&lt;Parametri!$B$76,Parametri!$B$75*Parametri!$B$74*Parametri!$B$73/Parametri!$B$76,0)</f>
        <v>0</v>
      </c>
      <c r="O29" s="35">
        <f>IF(B29&lt;10,Parametri!$B$53,IF(B29&lt;20,Parametri!$B$56,Parametri!$B$57))*M29*G29*Parametri!$B$72/1000</f>
        <v>10.8875400493871</v>
      </c>
      <c r="P29" s="35">
        <f>MIN(Parametri!$B$81+Parametri!$B$82,
Parametri!$B$81+Parametri!$B$82*(B29+1)/Parametri!$B$83)</f>
        <v>12.5</v>
      </c>
      <c r="Q29" s="35">
        <f>-IF(B29&lt;10,Parametri!$B$51,IF(B29&lt;20,Parametri!$B$54,Parametri!$B$57))*M29*G29/1000</f>
        <v>-40.324222405137405</v>
      </c>
      <c r="R29" s="35">
        <f t="shared" si="5"/>
        <v>40.324222405137405</v>
      </c>
      <c r="S29" s="35">
        <f t="shared" si="8"/>
        <v>512.71467299888457</v>
      </c>
      <c r="T29" s="36">
        <f>-(Parametri!$B$86*(Parametri!$B$87*Parametri!$B$90+Parametri!$B$88*Parametri!$B$91+Parametri!$B$89*Parametri!$B$92)/1000000000)*MIN(B29+1,Parametri!$B$93)</f>
        <v>-2.85975</v>
      </c>
      <c r="U29" s="36">
        <f>IF(B29&lt;Parametri!$B$125,Parametri!$B$46,IF(B29&lt;Parametri!$B$126,Parametri!$B$47,Parametri!$B$48))*Parametri!$B$96*13/1000000000*((B29+1)*Parametri!$B$121+B29*(B29+1)/2*Parametri!$B$122)</f>
        <v>66.57065999999999</v>
      </c>
      <c r="V29" s="35">
        <f>IF(B29&gt;=Parametri!$B$103-1,Parametri!$B$102*(1-Parametri!$B$127)^(B29-(Parametri!$B$103-1)),0)</f>
        <v>4.1746568436493563</v>
      </c>
      <c r="W29" s="35">
        <f>IF(B29&gt;=Parametri!$B$105-1,Parametri!$B$104,0)</f>
        <v>5</v>
      </c>
      <c r="X29" s="35">
        <f>IF(B29&gt;=Parametri!$B$107-1,Parametri!$B$106+Parametri!$B$128*INT((B29-(Parametri!$B$107-1))/2),0)</f>
        <v>4.29</v>
      </c>
      <c r="Y29" s="34">
        <f>IF(AND(B29&gt;=Parametri!$B$109-1,B29&lt;Parametri!$B$109-1+Parametri!$B$140),Parametri!$B$108,0)</f>
        <v>0</v>
      </c>
      <c r="Z29" s="37">
        <f>IF(B29&lt;10,Parametri!$B$52,IF(B29&lt;20,Parametri!$B$55,0))*M29*G29/1000</f>
        <v>0</v>
      </c>
      <c r="AA29" s="38">
        <f>Parametri!$B$159*Parametri!$B$160</f>
        <v>0</v>
      </c>
      <c r="AB29" s="39">
        <f>(SUM(Z$5:Z29)+SUM(AA$5:AA29)-SUM(Z$5:Z14)-SUM(AA$5:AA14))</f>
        <v>72.747295433136784</v>
      </c>
      <c r="AC29" s="39">
        <f>-(Parametri!$B$67*SUM(Z$5:Z29)+Parametri!$B$161*SUM(AA$5:AA29))</f>
        <v>-1.8485686191120654</v>
      </c>
      <c r="AD29" s="39">
        <f t="shared" si="10"/>
        <v>-6.3269427980196795</v>
      </c>
      <c r="AE29" s="41">
        <f t="shared" si="6"/>
        <v>52.063373070767298</v>
      </c>
      <c r="AF29" s="41">
        <f t="shared" si="9"/>
        <v>760.04450295093307</v>
      </c>
      <c r="AG29" s="42">
        <f t="shared" si="7"/>
        <v>-0.31619183116764799</v>
      </c>
      <c r="AH29" s="139">
        <f>SUM(Z$5:Z29)-SUM(Z$5:Z14)</f>
        <v>72.747295433136784</v>
      </c>
      <c r="AI29" s="139">
        <f t="shared" si="11"/>
        <v>-6.3269427980196795</v>
      </c>
    </row>
    <row r="30" spans="1:35" ht="15" customHeight="1" x14ac:dyDescent="0.2">
      <c r="A30" s="27">
        <f>Parametri!$B$6+B30</f>
        <v>2052</v>
      </c>
      <c r="B30" s="28">
        <v>25</v>
      </c>
      <c r="C30" s="29">
        <f>C29*(1+Parametri!$B$14)</f>
        <v>25.897293635418762</v>
      </c>
      <c r="D30" s="29">
        <f>D29*(1+Parametri!$B$15)+Parametri!$B$145*(1-Parametri!$B$15)^B29</f>
        <v>18.345528104400387</v>
      </c>
      <c r="E30" s="30">
        <f t="shared" si="0"/>
        <v>0.70839557069816328</v>
      </c>
      <c r="F30" s="31">
        <f>F29*(1+Parametri!$B$129)</f>
        <v>2410.9561390142107</v>
      </c>
      <c r="G30" s="32">
        <f>G29*(1+Parametri!$B$130)</f>
        <v>26700</v>
      </c>
      <c r="H30" s="31">
        <f t="shared" si="1"/>
        <v>368.87628926917426</v>
      </c>
      <c r="I30" s="33">
        <f>IF(B30&lt;=(Parametri!$B$35-Parametri!$B$6),Parametri!$B$32+(Parametri!$B$33-Parametri!$B$32)*B30/(Parametri!$B$35-Parametri!$B$6),Parametri!$B$33+(Parametri!$B$34-Parametri!$B$33)*(B30-(Parametri!$B$35-Parametri!$B$6))/(Parametri!$B$36-Parametri!$B$35))</f>
        <v>0.153</v>
      </c>
      <c r="J30" s="31">
        <f t="shared" si="2"/>
        <v>312.84574906054121</v>
      </c>
      <c r="K30" s="33">
        <f t="shared" si="3"/>
        <v>0.1297600333735052</v>
      </c>
      <c r="L30" s="33">
        <f>IF(B30&lt;=5,Parametri!$B$58+(Parametri!$B$59-Parametri!$B$58)/5*B30,MIN(Parametri!$B$60,Parametri!$B$59+(Parametri!$B$60-Parametri!$B$59)/24*(B30-5)))</f>
        <v>0.93333333333333335</v>
      </c>
      <c r="M30" s="29">
        <f t="shared" si="4"/>
        <v>17.12249289744036</v>
      </c>
      <c r="N30" s="34">
        <f>IF(B30&lt;Parametri!$B$76,Parametri!$B$75*Parametri!$B$74*Parametri!$B$73/Parametri!$B$76,0)</f>
        <v>0</v>
      </c>
      <c r="O30" s="35">
        <f>IF(B30&lt;10,Parametri!$B$53,IF(B30&lt;20,Parametri!$B$56,Parametri!$B$57))*M30*G30*Parametri!$B$72/1000</f>
        <v>11.109244616788279</v>
      </c>
      <c r="P30" s="35">
        <f>MIN(Parametri!$B$81+Parametri!$B$82,
Parametri!$B$81+Parametri!$B$82*(B30+1)/Parametri!$B$83)</f>
        <v>12.5</v>
      </c>
      <c r="Q30" s="35">
        <f>-IF(B30&lt;10,Parametri!$B$51,IF(B30&lt;20,Parametri!$B$54,Parametri!$B$57))*M30*G30/1000</f>
        <v>-41.145350432549179</v>
      </c>
      <c r="R30" s="35">
        <f t="shared" si="5"/>
        <v>41.145350432549179</v>
      </c>
      <c r="S30" s="35">
        <f t="shared" si="8"/>
        <v>553.86002343143377</v>
      </c>
      <c r="T30" s="36">
        <f>-(Parametri!$B$86*(Parametri!$B$87*Parametri!$B$90+Parametri!$B$88*Parametri!$B$91+Parametri!$B$89*Parametri!$B$92)/1000000000)*MIN(B30+1,Parametri!$B$93)</f>
        <v>-2.85975</v>
      </c>
      <c r="U30" s="36">
        <f>IF(B30&lt;Parametri!$B$125,Parametri!$B$46,IF(B30&lt;Parametri!$B$126,Parametri!$B$47,Parametri!$B$48))*Parametri!$B$96*13/1000000000*((B30+1)*Parametri!$B$121+B30*(B30+1)/2*Parametri!$B$122)</f>
        <v>71.229890159999982</v>
      </c>
      <c r="V30" s="35">
        <f>IF(B30&gt;=Parametri!$B$103-1,Parametri!$B$102*(1-Parametri!$B$127)^(B30-(Parametri!$B$103-1)),0)</f>
        <v>4.1120369909946159</v>
      </c>
      <c r="W30" s="35">
        <f>IF(B30&gt;=Parametri!$B$105-1,Parametri!$B$104,0)</f>
        <v>5</v>
      </c>
      <c r="X30" s="35">
        <f>IF(B30&gt;=Parametri!$B$107-1,Parametri!$B$106+Parametri!$B$128*INT((B30-(Parametri!$B$107-1))/2),0)</f>
        <v>4.43</v>
      </c>
      <c r="Y30" s="34">
        <f>IF(AND(B30&gt;=Parametri!$B$109-1,B30&lt;Parametri!$B$109-1+Parametri!$B$140),Parametri!$B$108,0)</f>
        <v>0</v>
      </c>
      <c r="Z30" s="37">
        <f>IF(B30&lt;10,Parametri!$B$52,IF(B30&lt;20,Parametri!$B$55,0))*M30*G30/1000</f>
        <v>0</v>
      </c>
      <c r="AA30" s="38">
        <f>Parametri!$B$159*Parametri!$B$160</f>
        <v>0</v>
      </c>
      <c r="AB30" s="39">
        <f>(SUM(Z$5:Z30)+SUM(AA$5:AA30)-SUM(Z$5:Z15)-SUM(AA$5:AA15))</f>
        <v>66.250332925648181</v>
      </c>
      <c r="AC30" s="39">
        <f>-(Parametri!$B$67*SUM(Z$5:Z30)+Parametri!$B$161*SUM(AA$5:AA30))</f>
        <v>-1.8485686191120654</v>
      </c>
      <c r="AD30" s="39">
        <f t="shared" si="10"/>
        <v>-6.4969625074886057</v>
      </c>
      <c r="AE30" s="41">
        <f t="shared" si="6"/>
        <v>56.030540208633035</v>
      </c>
      <c r="AF30" s="41">
        <f t="shared" si="9"/>
        <v>816.07504315956612</v>
      </c>
      <c r="AG30" s="42">
        <f t="shared" si="7"/>
        <v>-0.33848605951547589</v>
      </c>
      <c r="AH30" s="139">
        <f>SUM(Z$5:Z30)-SUM(Z$5:Z15)</f>
        <v>66.250332925648181</v>
      </c>
      <c r="AI30" s="139">
        <f t="shared" si="11"/>
        <v>-6.4969625074886057</v>
      </c>
    </row>
    <row r="31" spans="1:35" ht="15" customHeight="1" x14ac:dyDescent="0.2">
      <c r="A31" s="27">
        <f>Parametri!$B$6+B31</f>
        <v>2053</v>
      </c>
      <c r="B31" s="28">
        <v>26</v>
      </c>
      <c r="C31" s="29">
        <f>C30*(1+Parametri!$B$14)</f>
        <v>26.052677397231275</v>
      </c>
      <c r="D31" s="29">
        <f>D30*(1+Parametri!$B$15)+Parametri!$B$145*(1-Parametri!$B$15)^B30</f>
        <v>18.385204750588407</v>
      </c>
      <c r="E31" s="30">
        <f t="shared" si="0"/>
        <v>0.70569348671020959</v>
      </c>
      <c r="F31" s="31">
        <f>F30*(1+Parametri!$B$129)</f>
        <v>2418.1890074312532</v>
      </c>
      <c r="G31" s="32">
        <f>G30*(1+Parametri!$B$130)</f>
        <v>26700</v>
      </c>
      <c r="H31" s="31">
        <f t="shared" si="1"/>
        <v>366.35563462583485</v>
      </c>
      <c r="I31" s="33">
        <f>IF(B31&lt;=(Parametri!$B$35-Parametri!$B$6),Parametri!$B$32+(Parametri!$B$33-Parametri!$B$32)*B31/(Parametri!$B$35-Parametri!$B$6),Parametri!$B$33+(Parametri!$B$34-Parametri!$B$33)*(B31-(Parametri!$B$35-Parametri!$B$6))/(Parametri!$B$36-Parametri!$B$35))</f>
        <v>0.1515</v>
      </c>
      <c r="J31" s="31">
        <f t="shared" si="2"/>
        <v>306.34721833385049</v>
      </c>
      <c r="K31" s="33">
        <f t="shared" si="3"/>
        <v>0.12668456327955566</v>
      </c>
      <c r="L31" s="33">
        <f>IF(B31&lt;=5,Parametri!$B$58+(Parametri!$B$59-Parametri!$B$58)/5*B31,MIN(Parametri!$B$60,Parametri!$B$59+(Parametri!$B$60-Parametri!$B$59)/24*(B31-5)))</f>
        <v>0.95</v>
      </c>
      <c r="M31" s="29">
        <f t="shared" si="4"/>
        <v>17.465944513058986</v>
      </c>
      <c r="N31" s="34">
        <f>IF(B31&lt;Parametri!$B$76,Parametri!$B$75*Parametri!$B$74*Parametri!$B$73/Parametri!$B$76,0)</f>
        <v>0</v>
      </c>
      <c r="O31" s="35">
        <f>IF(B31&lt;10,Parametri!$B$53,IF(B31&lt;20,Parametri!$B$56,Parametri!$B$57))*M31*G31*Parametri!$B$72/1000</f>
        <v>11.3320794595178</v>
      </c>
      <c r="P31" s="35">
        <f>MIN(Parametri!$B$81+Parametri!$B$82,
Parametri!$B$81+Parametri!$B$82*(B31+1)/Parametri!$B$83)</f>
        <v>12.5</v>
      </c>
      <c r="Q31" s="35">
        <f>-IF(B31&lt;10,Parametri!$B$51,IF(B31&lt;20,Parametri!$B$54,Parametri!$B$57))*M31*G31/1000</f>
        <v>-41.970664664880736</v>
      </c>
      <c r="R31" s="35">
        <f t="shared" si="5"/>
        <v>41.970664664880736</v>
      </c>
      <c r="S31" s="35">
        <f t="shared" si="8"/>
        <v>595.83068809631447</v>
      </c>
      <c r="T31" s="36">
        <f>-(Parametri!$B$86*(Parametri!$B$87*Parametri!$B$90+Parametri!$B$88*Parametri!$B$91+Parametri!$B$89*Parametri!$B$92)/1000000000)*MIN(B31+1,Parametri!$B$93)</f>
        <v>-2.85975</v>
      </c>
      <c r="U31" s="36">
        <f>IF(B31&lt;Parametri!$B$125,Parametri!$B$46,IF(B31&lt;Parametri!$B$126,Parametri!$B$47,Parametri!$B$48))*Parametri!$B$96*13/1000000000*((B31+1)*Parametri!$B$121+B31*(B31+1)/2*Parametri!$B$122)</f>
        <v>76.042689839999994</v>
      </c>
      <c r="V31" s="35">
        <f>IF(B31&gt;=Parametri!$B$103-1,Parametri!$B$102*(1-Parametri!$B$127)^(B31-(Parametri!$B$103-1)),0)</f>
        <v>4.0503564361296966</v>
      </c>
      <c r="W31" s="35">
        <f>IF(B31&gt;=Parametri!$B$105-1,Parametri!$B$104,0)</f>
        <v>5</v>
      </c>
      <c r="X31" s="35">
        <f>IF(B31&gt;=Parametri!$B$107-1,Parametri!$B$106+Parametri!$B$128*INT((B31-(Parametri!$B$107-1))/2),0)</f>
        <v>4.43</v>
      </c>
      <c r="Y31" s="34">
        <f>IF(AND(B31&gt;=Parametri!$B$109-1,B31&lt;Parametri!$B$109-1+Parametri!$B$140),Parametri!$B$108,0)</f>
        <v>0</v>
      </c>
      <c r="Z31" s="37">
        <f>IF(B31&lt;10,Parametri!$B$52,IF(B31&lt;20,Parametri!$B$55,0))*M31*G31/1000</f>
        <v>0</v>
      </c>
      <c r="AA31" s="38">
        <f>Parametri!$B$159*Parametri!$B$160</f>
        <v>0</v>
      </c>
      <c r="AB31" s="39">
        <f>(SUM(Z$5:Z31)+SUM(AA$5:AA31)-SUM(Z$5:Z16)-SUM(AA$5:AA16))</f>
        <v>59.582606765977886</v>
      </c>
      <c r="AC31" s="39">
        <f>-(Parametri!$B$67*SUM(Z$5:Z31)+Parametri!$B$161*SUM(AA$5:AA31))</f>
        <v>-1.8485686191120654</v>
      </c>
      <c r="AD31" s="39">
        <f t="shared" si="10"/>
        <v>-6.6677261596702913</v>
      </c>
      <c r="AE31" s="41">
        <f t="shared" si="6"/>
        <v>60.008416291984389</v>
      </c>
      <c r="AF31" s="41">
        <f t="shared" si="9"/>
        <v>876.08345945155054</v>
      </c>
      <c r="AG31" s="42">
        <f t="shared" si="7"/>
        <v>-0.36228907532012122</v>
      </c>
      <c r="AH31" s="139">
        <f>SUM(Z$5:Z31)-SUM(Z$5:Z16)</f>
        <v>59.582606765977886</v>
      </c>
      <c r="AI31" s="139">
        <f t="shared" si="11"/>
        <v>-6.6677261596702913</v>
      </c>
    </row>
    <row r="32" spans="1:35" ht="15" customHeight="1" x14ac:dyDescent="0.2">
      <c r="A32" s="27">
        <f>Parametri!$B$6+B32</f>
        <v>2054</v>
      </c>
      <c r="B32" s="28">
        <v>27</v>
      </c>
      <c r="C32" s="29">
        <f>C31*(1+Parametri!$B$14)</f>
        <v>26.208993461614661</v>
      </c>
      <c r="D32" s="29">
        <f>D31*(1+Parametri!$B$15)+Parametri!$B$145*(1-Parametri!$B$15)^B31</f>
        <v>18.425340034979037</v>
      </c>
      <c r="E32" s="30">
        <f t="shared" si="0"/>
        <v>0.70301593466244872</v>
      </c>
      <c r="F32" s="31">
        <f>F31*(1+Parametri!$B$129)</f>
        <v>2425.4435744535467</v>
      </c>
      <c r="G32" s="32">
        <f>G31*(1+Parametri!$B$130)</f>
        <v>26700</v>
      </c>
      <c r="H32" s="31">
        <f t="shared" si="1"/>
        <v>363.81653616803197</v>
      </c>
      <c r="I32" s="33">
        <f>IF(B32&lt;=(Parametri!$B$35-Parametri!$B$6),Parametri!$B$32+(Parametri!$B$33-Parametri!$B$32)*B32/(Parametri!$B$35-Parametri!$B$6),Parametri!$B$33+(Parametri!$B$34-Parametri!$B$33)*(B32-(Parametri!$B$35-Parametri!$B$6))/(Parametri!$B$36-Parametri!$B$35))</f>
        <v>0.15</v>
      </c>
      <c r="J32" s="31">
        <f t="shared" si="2"/>
        <v>299.53960291383333</v>
      </c>
      <c r="K32" s="33">
        <f t="shared" si="3"/>
        <v>0.12349889565306409</v>
      </c>
      <c r="L32" s="33">
        <f>IF(B32&lt;=5,Parametri!$B$58+(Parametri!$B$59-Parametri!$B$58)/5*B32,MIN(Parametri!$B$60,Parametri!$B$59+(Parametri!$B$60-Parametri!$B$59)/24*(B32-5)))</f>
        <v>0.96666666666666656</v>
      </c>
      <c r="M32" s="29">
        <f t="shared" si="4"/>
        <v>17.811162033813066</v>
      </c>
      <c r="N32" s="34">
        <f>IF(B32&lt;Parametri!$B$76,Parametri!$B$75*Parametri!$B$74*Parametri!$B$73/Parametri!$B$76,0)</f>
        <v>0</v>
      </c>
      <c r="O32" s="35">
        <f>IF(B32&lt;10,Parametri!$B$53,IF(B32&lt;20,Parametri!$B$56,Parametri!$B$57))*M32*G32*Parametri!$B$72/1000</f>
        <v>11.556060039158256</v>
      </c>
      <c r="P32" s="35">
        <f>MIN(Parametri!$B$81+Parametri!$B$82,
Parametri!$B$81+Parametri!$B$82*(B32+1)/Parametri!$B$83)</f>
        <v>12.5</v>
      </c>
      <c r="Q32" s="35">
        <f>-IF(B32&lt;10,Parametri!$B$51,IF(B32&lt;20,Parametri!$B$54,Parametri!$B$57))*M32*G32/1000</f>
        <v>-42.8002223672528</v>
      </c>
      <c r="R32" s="35">
        <f t="shared" si="5"/>
        <v>42.8002223672528</v>
      </c>
      <c r="S32" s="35">
        <f t="shared" si="8"/>
        <v>638.63091046356726</v>
      </c>
      <c r="T32" s="36">
        <f>-(Parametri!$B$86*(Parametri!$B$87*Parametri!$B$90+Parametri!$B$88*Parametri!$B$91+Parametri!$B$89*Parametri!$B$92)/1000000000)*MIN(B32+1,Parametri!$B$93)</f>
        <v>-2.85975</v>
      </c>
      <c r="U32" s="36">
        <f>IF(B32&lt;Parametri!$B$125,Parametri!$B$46,IF(B32&lt;Parametri!$B$126,Parametri!$B$47,Parametri!$B$48))*Parametri!$B$96*13/1000000000*((B32+1)*Parametri!$B$121+B32*(B32+1)/2*Parametri!$B$122)</f>
        <v>81.009059039999997</v>
      </c>
      <c r="V32" s="35">
        <f>IF(B32&gt;=Parametri!$B$103-1,Parametri!$B$102*(1-Parametri!$B$127)^(B32-(Parametri!$B$103-1)),0)</f>
        <v>3.9896010895877509</v>
      </c>
      <c r="W32" s="35">
        <f>IF(B32&gt;=Parametri!$B$105-1,Parametri!$B$104,0)</f>
        <v>5</v>
      </c>
      <c r="X32" s="35">
        <f>IF(B32&gt;=Parametri!$B$107-1,Parametri!$B$106+Parametri!$B$128*INT((B32-(Parametri!$B$107-1))/2),0)</f>
        <v>4.57</v>
      </c>
      <c r="Y32" s="34">
        <f>IF(AND(B32&gt;=Parametri!$B$109-1,B32&lt;Parametri!$B$109-1+Parametri!$B$140),Parametri!$B$108,0)</f>
        <v>0</v>
      </c>
      <c r="Z32" s="37">
        <f>IF(B32&lt;10,Parametri!$B$52,IF(B32&lt;20,Parametri!$B$55,0))*M32*G32/1000</f>
        <v>0</v>
      </c>
      <c r="AA32" s="38">
        <f>Parametri!$B$159*Parametri!$B$160</f>
        <v>0</v>
      </c>
      <c r="AB32" s="39">
        <f>(SUM(Z$5:Z32)+SUM(AA$5:AA32)-SUM(Z$5:Z17)-SUM(AA$5:AA17))</f>
        <v>52.743360837795393</v>
      </c>
      <c r="AC32" s="39">
        <f>-(Parametri!$B$67*SUM(Z$5:Z32)+Parametri!$B$161*SUM(AA$5:AA32))</f>
        <v>-1.8485686191120654</v>
      </c>
      <c r="AD32" s="39">
        <f t="shared" si="10"/>
        <v>-6.8392459281824864</v>
      </c>
      <c r="AE32" s="41">
        <f t="shared" si="6"/>
        <v>64.276933254198624</v>
      </c>
      <c r="AF32" s="41">
        <f t="shared" si="9"/>
        <v>940.36039270574918</v>
      </c>
      <c r="AG32" s="42">
        <f t="shared" si="7"/>
        <v>-0.38770656329022729</v>
      </c>
      <c r="AH32" s="139">
        <f>SUM(Z$5:Z32)-SUM(Z$5:Z17)</f>
        <v>52.743360837795393</v>
      </c>
      <c r="AI32" s="139">
        <f t="shared" si="11"/>
        <v>-6.8392459281824864</v>
      </c>
    </row>
    <row r="33" spans="1:35" ht="15" customHeight="1" x14ac:dyDescent="0.2">
      <c r="A33" s="27">
        <f>Parametri!$B$6+B33</f>
        <v>2055</v>
      </c>
      <c r="B33" s="28">
        <v>28</v>
      </c>
      <c r="C33" s="29">
        <f>C32*(1+Parametri!$B$14)</f>
        <v>26.366247422384347</v>
      </c>
      <c r="D33" s="29">
        <f>D32*(1+Parametri!$B$15)+Parametri!$B$145*(1-Parametri!$B$15)^B32</f>
        <v>18.465934949488435</v>
      </c>
      <c r="E33" s="30">
        <f t="shared" si="0"/>
        <v>0.70036265129679676</v>
      </c>
      <c r="F33" s="31">
        <f>F32*(1+Parametri!$B$129)</f>
        <v>2432.7199051769071</v>
      </c>
      <c r="G33" s="32">
        <f>G32*(1+Parametri!$B$130)</f>
        <v>26700</v>
      </c>
      <c r="H33" s="31">
        <f t="shared" si="1"/>
        <v>361.25890591877067</v>
      </c>
      <c r="I33" s="33">
        <f>IF(B33&lt;=(Parametri!$B$35-Parametri!$B$6),Parametri!$B$32+(Parametri!$B$33-Parametri!$B$32)*B33/(Parametri!$B$35-Parametri!$B$6),Parametri!$B$33+(Parametri!$B$34-Parametri!$B$33)*(B33-(Parametri!$B$35-Parametri!$B$6))/(Parametri!$B$36-Parametri!$B$35))</f>
        <v>0.14849999999999999</v>
      </c>
      <c r="J33" s="31">
        <f t="shared" si="2"/>
        <v>292.70288284641697</v>
      </c>
      <c r="K33" s="33">
        <f t="shared" si="3"/>
        <v>0.12031918768105433</v>
      </c>
      <c r="L33" s="33">
        <f>IF(B33&lt;=5,Parametri!$B$58+(Parametri!$B$59-Parametri!$B$58)/5*B33,MIN(Parametri!$B$60,Parametri!$B$59+(Parametri!$B$60-Parametri!$B$59)/24*(B33-5)))</f>
        <v>0.98333333333333328</v>
      </c>
      <c r="M33" s="29">
        <f t="shared" si="4"/>
        <v>18.158169366996962</v>
      </c>
      <c r="N33" s="34">
        <f>IF(B33&lt;Parametri!$B$76,Parametri!$B$75*Parametri!$B$74*Parametri!$B$73/Parametri!$B$76,0)</f>
        <v>0</v>
      </c>
      <c r="O33" s="35">
        <f>IF(B33&lt;10,Parametri!$B$53,IF(B33&lt;20,Parametri!$B$56,Parametri!$B$57))*M33*G33*Parametri!$B$72/1000</f>
        <v>11.781201867001299</v>
      </c>
      <c r="P33" s="35">
        <f>MIN(Parametri!$B$81+Parametri!$B$82,
Parametri!$B$81+Parametri!$B$82*(B33+1)/Parametri!$B$83)</f>
        <v>12.5</v>
      </c>
      <c r="Q33" s="35">
        <f>-IF(B33&lt;10,Parametri!$B$51,IF(B33&lt;20,Parametri!$B$54,Parametri!$B$57))*M33*G33/1000</f>
        <v>-43.634080988893693</v>
      </c>
      <c r="R33" s="35">
        <f t="shared" si="5"/>
        <v>43.634080988893693</v>
      </c>
      <c r="S33" s="35">
        <f t="shared" si="8"/>
        <v>682.264991452461</v>
      </c>
      <c r="T33" s="36">
        <f>-(Parametri!$B$86*(Parametri!$B$87*Parametri!$B$90+Parametri!$B$88*Parametri!$B$91+Parametri!$B$89*Parametri!$B$92)/1000000000)*MIN(B33+1,Parametri!$B$93)</f>
        <v>-2.85975</v>
      </c>
      <c r="U33" s="36">
        <f>IF(B33&lt;Parametri!$B$125,Parametri!$B$46,IF(B33&lt;Parametri!$B$126,Parametri!$B$47,Parametri!$B$48))*Parametri!$B$96*13/1000000000*((B33+1)*Parametri!$B$121+B33*(B33+1)/2*Parametri!$B$122)</f>
        <v>86.12899775999999</v>
      </c>
      <c r="V33" s="35">
        <f>IF(B33&gt;=Parametri!$B$103-1,Parametri!$B$102*(1-Parametri!$B$127)^(B33-(Parametri!$B$103-1)),0)</f>
        <v>3.9297570732439344</v>
      </c>
      <c r="W33" s="35">
        <f>IF(B33&gt;=Parametri!$B$105-1,Parametri!$B$104,0)</f>
        <v>5</v>
      </c>
      <c r="X33" s="35">
        <f>IF(B33&gt;=Parametri!$B$107-1,Parametri!$B$106+Parametri!$B$128*INT((B33-(Parametri!$B$107-1))/2),0)</f>
        <v>4.57</v>
      </c>
      <c r="Y33" s="34">
        <f>IF(AND(B33&gt;=Parametri!$B$109-1,B33&lt;Parametri!$B$109-1+Parametri!$B$140),Parametri!$B$108,0)</f>
        <v>0</v>
      </c>
      <c r="Z33" s="37">
        <f>IF(B33&lt;10,Parametri!$B$52,IF(B33&lt;20,Parametri!$B$55,0))*M33*G33/1000</f>
        <v>0</v>
      </c>
      <c r="AA33" s="38">
        <f>Parametri!$B$159*Parametri!$B$160</f>
        <v>0</v>
      </c>
      <c r="AB33" s="39">
        <f>(SUM(Z$5:Z33)+SUM(AA$5:AA33)-SUM(Z$5:Z18)-SUM(AA$5:AA18))</f>
        <v>45.731826817909663</v>
      </c>
      <c r="AC33" s="39">
        <f>-(Parametri!$B$67*SUM(Z$5:Z33)+Parametri!$B$161*SUM(AA$5:AA33))</f>
        <v>-1.8485686191120654</v>
      </c>
      <c r="AD33" s="39">
        <f t="shared" si="10"/>
        <v>-7.0115340198857314</v>
      </c>
      <c r="AE33" s="41">
        <f t="shared" si="6"/>
        <v>68.556023072353725</v>
      </c>
      <c r="AF33" s="41">
        <f t="shared" si="9"/>
        <v>1008.9164157781029</v>
      </c>
      <c r="AG33" s="42">
        <f t="shared" si="7"/>
        <v>-0.41472773484160502</v>
      </c>
      <c r="AH33" s="139">
        <f>SUM(Z$5:Z33)-SUM(Z$5:Z18)</f>
        <v>45.731826817909663</v>
      </c>
      <c r="AI33" s="139">
        <f t="shared" si="11"/>
        <v>-7.0115340198857314</v>
      </c>
    </row>
    <row r="34" spans="1:35" ht="15" customHeight="1" x14ac:dyDescent="0.2">
      <c r="A34" s="27">
        <f>Parametri!$B$6+B34</f>
        <v>2056</v>
      </c>
      <c r="B34" s="28">
        <v>29</v>
      </c>
      <c r="C34" s="29">
        <f>C33*(1+Parametri!$B$14)</f>
        <v>26.524444906918653</v>
      </c>
      <c r="D34" s="29">
        <f>D33*(1+Parametri!$B$15)+Parametri!$B$145*(1-Parametri!$B$15)^B33</f>
        <v>18.506990497498705</v>
      </c>
      <c r="E34" s="30">
        <f t="shared" si="0"/>
        <v>0.69773337622878318</v>
      </c>
      <c r="F34" s="31">
        <f>F33*(1+Parametri!$B$129)</f>
        <v>2440.0180648924375</v>
      </c>
      <c r="G34" s="32">
        <f>G33*(1+Parametri!$B$130)</f>
        <v>26700</v>
      </c>
      <c r="H34" s="31">
        <f t="shared" si="1"/>
        <v>358.68265553918826</v>
      </c>
      <c r="I34" s="33">
        <f>IF(B34&lt;=(Parametri!$B$35-Parametri!$B$6),Parametri!$B$32+(Parametri!$B$33-Parametri!$B$32)*B34/(Parametri!$B$35-Parametri!$B$6),Parametri!$B$33+(Parametri!$B$34-Parametri!$B$33)*(B34-(Parametri!$B$35-Parametri!$B$6))/(Parametri!$B$36-Parametri!$B$35))</f>
        <v>0.14699999999999999</v>
      </c>
      <c r="J34" s="31">
        <f t="shared" si="2"/>
        <v>285.55703777734811</v>
      </c>
      <c r="K34" s="33">
        <f t="shared" si="3"/>
        <v>0.11703070640582992</v>
      </c>
      <c r="L34" s="33">
        <f>IF(B34&lt;=5,Parametri!$B$58+(Parametri!$B$59-Parametri!$B$58)/5*B34,MIN(Parametri!$B$60,Parametri!$B$59+(Parametri!$B$60-Parametri!$B$59)/24*(B34-5)))</f>
        <v>1</v>
      </c>
      <c r="M34" s="29">
        <f t="shared" si="4"/>
        <v>18.506990497498705</v>
      </c>
      <c r="N34" s="34">
        <f>IF(B34&lt;Parametri!$B$76,Parametri!$B$75*Parametri!$B$74*Parametri!$B$73/Parametri!$B$76,0)</f>
        <v>0</v>
      </c>
      <c r="O34" s="35">
        <f>IF(B34&lt;10,Parametri!$B$53,IF(B34&lt;20,Parametri!$B$56,Parametri!$B$57))*M34*G34*Parametri!$B$72/1000</f>
        <v>12.007520504682136</v>
      </c>
      <c r="P34" s="35">
        <f>MIN(Parametri!$B$81+Parametri!$B$82,
Parametri!$B$81+Parametri!$B$82*(B34+1)/Parametri!$B$83)</f>
        <v>12.5</v>
      </c>
      <c r="Q34" s="35">
        <f>-IF(B34&lt;10,Parametri!$B$51,IF(B34&lt;20,Parametri!$B$54,Parametri!$B$57))*M34*G34/1000</f>
        <v>-44.472298165489391</v>
      </c>
      <c r="R34" s="35">
        <f t="shared" si="5"/>
        <v>44.472298165489391</v>
      </c>
      <c r="S34" s="35">
        <f t="shared" si="8"/>
        <v>726.73728961795041</v>
      </c>
      <c r="T34" s="36">
        <f>-(Parametri!$B$86*(Parametri!$B$87*Parametri!$B$90+Parametri!$B$88*Parametri!$B$91+Parametri!$B$89*Parametri!$B$92)/1000000000)*MIN(B34+1,Parametri!$B$93)</f>
        <v>-2.85975</v>
      </c>
      <c r="U34" s="36">
        <f>IF(B34&lt;Parametri!$B$125,Parametri!$B$46,IF(B34&lt;Parametri!$B$126,Parametri!$B$47,Parametri!$B$48))*Parametri!$B$96*13/1000000000*((B34+1)*Parametri!$B$121+B34*(B34+1)/2*Parametri!$B$122)</f>
        <v>91.402505999999988</v>
      </c>
      <c r="V34" s="35">
        <f>IF(B34&gt;=Parametri!$B$103-1,Parametri!$B$102*(1-Parametri!$B$127)^(B34-(Parametri!$B$103-1)),0)</f>
        <v>3.8708107171452752</v>
      </c>
      <c r="W34" s="35">
        <f>IF(B34&gt;=Parametri!$B$105-1,Parametri!$B$104,0)</f>
        <v>5</v>
      </c>
      <c r="X34" s="35">
        <f>IF(B34&gt;=Parametri!$B$107-1,Parametri!$B$106+Parametri!$B$128*INT((B34-(Parametri!$B$107-1))/2),0)</f>
        <v>4.71</v>
      </c>
      <c r="Y34" s="34">
        <f>IF(AND(B34&gt;=Parametri!$B$109-1,B34&lt;Parametri!$B$109-1+Parametri!$B$140),Parametri!$B$108,0)</f>
        <v>0</v>
      </c>
      <c r="Z34" s="37">
        <f>IF(B34&lt;10,Parametri!$B$52,IF(B34&lt;20,Parametri!$B$55,0))*M34*G34/1000</f>
        <v>0</v>
      </c>
      <c r="AA34" s="38">
        <f>Parametri!$B$159*Parametri!$B$160</f>
        <v>0</v>
      </c>
      <c r="AB34" s="39">
        <f>(SUM(Z$5:Z34)+SUM(AA$5:AA34)-SUM(Z$5:Z19)-SUM(AA$5:AA19))</f>
        <v>38.547224142523888</v>
      </c>
      <c r="AC34" s="39">
        <f>-(Parametri!$B$67*SUM(Z$5:Z34)+Parametri!$B$161*SUM(AA$5:AA34))</f>
        <v>-1.8485686191120654</v>
      </c>
      <c r="AD34" s="39">
        <f t="shared" si="10"/>
        <v>-7.1846026753857819</v>
      </c>
      <c r="AE34" s="41">
        <f t="shared" si="6"/>
        <v>73.125617761840147</v>
      </c>
      <c r="AF34" s="41">
        <f t="shared" si="9"/>
        <v>1082.0420335399431</v>
      </c>
      <c r="AG34" s="42">
        <f t="shared" si="7"/>
        <v>-0.44345656661670757</v>
      </c>
      <c r="AH34" s="139">
        <f>SUM(Z$5:Z34)-SUM(Z$5:Z19)</f>
        <v>38.547224142523888</v>
      </c>
      <c r="AI34" s="139">
        <f t="shared" si="11"/>
        <v>-7.1846026753857819</v>
      </c>
    </row>
    <row r="35" spans="1:35" ht="15" customHeight="1" x14ac:dyDescent="0.2">
      <c r="A35" s="27">
        <f>Parametri!$B$6+B35</f>
        <v>2057</v>
      </c>
      <c r="B35" s="44">
        <v>30</v>
      </c>
      <c r="C35" s="29">
        <f>C34*(1+Parametri!$B$14)</f>
        <v>26.683591576360165</v>
      </c>
      <c r="D35" s="29">
        <f>D34*(1+Parametri!$B$15)+Parametri!$B$145*(1-Parametri!$B$15)^B34</f>
        <v>18.548507693882712</v>
      </c>
      <c r="E35" s="30">
        <f t="shared" si="0"/>
        <v>0.69512785191613491</v>
      </c>
      <c r="F35" s="31">
        <f>F34*(1+Parametri!$B$129)</f>
        <v>2447.3381190871146</v>
      </c>
      <c r="G35" s="32">
        <f>G34*(1+Parametri!$B$130)</f>
        <v>26700</v>
      </c>
      <c r="H35" s="31">
        <f t="shared" si="1"/>
        <v>356.08769632717514</v>
      </c>
      <c r="I35" s="33">
        <f>IF(B35&lt;=(Parametri!$B$35-Parametri!$B$6),Parametri!$B$32+(Parametri!$B$33-Parametri!$B$32)*B35/(Parametri!$B$35-Parametri!$B$6),Parametri!$B$33+(Parametri!$B$34-Parametri!$B$33)*(B35-(Parametri!$B$35-Parametri!$B$6))/(Parametri!$B$36-Parametri!$B$35))</f>
        <v>0.14549999999999999</v>
      </c>
      <c r="J35" s="31">
        <f t="shared" si="2"/>
        <v>277.83975351096842</v>
      </c>
      <c r="K35" s="33">
        <f t="shared" si="3"/>
        <v>0.11352732642214794</v>
      </c>
      <c r="L35" s="33">
        <f>IF(B35&lt;=5,Parametri!$B$58+(Parametri!$B$59-Parametri!$B$58)/5*B35,MIN(Parametri!$B$60,Parametri!$B$59+(Parametri!$B$60-Parametri!$B$59)/24*(B35-5)))</f>
        <v>1</v>
      </c>
      <c r="M35" s="29">
        <f t="shared" si="4"/>
        <v>18.548507693882712</v>
      </c>
      <c r="N35" s="34">
        <f>IF(B35&lt;Parametri!$B$76,Parametri!$B$75*Parametri!$B$74*Parametri!$B$73/Parametri!$B$76,0)</f>
        <v>0</v>
      </c>
      <c r="O35" s="35">
        <f>IF(B35&lt;10,Parametri!$B$53,IF(B35&lt;20,Parametri!$B$56,Parametri!$B$57))*M35*G35*Parametri!$B$72/1000</f>
        <v>12.034457276868043</v>
      </c>
      <c r="P35" s="35">
        <f>MIN(Parametri!$B$81+Parametri!$B$82,
Parametri!$B$81+Parametri!$B$82*(B35+1)/Parametri!$B$83)</f>
        <v>12.5</v>
      </c>
      <c r="Q35" s="35">
        <f>-IF(B35&lt;10,Parametri!$B$51,IF(B35&lt;20,Parametri!$B$54,Parametri!$B$57))*M35*G35/1000</f>
        <v>-44.57206398840016</v>
      </c>
      <c r="R35" s="35">
        <f t="shared" si="5"/>
        <v>44.57206398840016</v>
      </c>
      <c r="S35" s="35">
        <f t="shared" si="8"/>
        <v>771.30935360635056</v>
      </c>
      <c r="T35" s="36">
        <f>-(Parametri!$B$86*(Parametri!$B$87*Parametri!$B$90+Parametri!$B$88*Parametri!$B$91+Parametri!$B$89*Parametri!$B$92)/1000000000)*MIN(B35+1,Parametri!$B$93)</f>
        <v>-2.85975</v>
      </c>
      <c r="U35" s="36">
        <f>IF(B35&lt;Parametri!$B$125,Parametri!$B$46,IF(B35&lt;Parametri!$B$126,Parametri!$B$47,Parametri!$B$48))*Parametri!$B$96*13/1000000000*((B35+1)*Parametri!$B$121+B35*(B35+1)/2*Parametri!$B$122)</f>
        <v>96.829583760000006</v>
      </c>
      <c r="V35" s="35">
        <f>IF(B35&gt;=Parametri!$B$103-1,Parametri!$B$102*(1-Parametri!$B$127)^(B35-(Parametri!$B$103-1)),0)</f>
        <v>3.8127485563880965</v>
      </c>
      <c r="W35" s="35">
        <f>IF(B35&gt;=Parametri!$B$105-1,Parametri!$B$104,0)</f>
        <v>5</v>
      </c>
      <c r="X35" s="35">
        <f>IF(B35&gt;=Parametri!$B$107-1,Parametri!$B$106+Parametri!$B$128*INT((B35-(Parametri!$B$107-1))/2),0)</f>
        <v>4.71</v>
      </c>
      <c r="Y35" s="34">
        <f>IF(AND(B35&gt;=Parametri!$B$109-1,B35&lt;Parametri!$B$109-1+Parametri!$B$140),Parametri!$B$108,0)</f>
        <v>0</v>
      </c>
      <c r="Z35" s="37">
        <f>IF(B35&lt;10,Parametri!$B$52,IF(B35&lt;20,Parametri!$B$55,0))*M35*G35/1000</f>
        <v>0</v>
      </c>
      <c r="AA35" s="38">
        <f>Parametri!$B$159*Parametri!$B$160</f>
        <v>0</v>
      </c>
      <c r="AB35" s="39">
        <f>(SUM(Z$5:Z35)+SUM(AA$5:AA35)-SUM(Z$5:Z20)-SUM(AA$5:AA20))</f>
        <v>31.188759972986659</v>
      </c>
      <c r="AC35" s="39">
        <f>-(Parametri!$B$67*SUM(Z$5:Z35)+Parametri!$B$161*SUM(AA$5:AA35))</f>
        <v>-1.8485686191120654</v>
      </c>
      <c r="AD35" s="39">
        <f t="shared" si="10"/>
        <v>-7.3584641695372301</v>
      </c>
      <c r="AE35" s="41">
        <f t="shared" si="6"/>
        <v>78.247942816206688</v>
      </c>
      <c r="AF35" s="41">
        <f t="shared" si="9"/>
        <v>1160.2899763561497</v>
      </c>
      <c r="AG35" s="42">
        <f t="shared" si="7"/>
        <v>-0.47410284966629429</v>
      </c>
      <c r="AH35" s="139">
        <f>SUM(Z$5:Z35)-SUM(Z$5:Z20)</f>
        <v>31.188759972986659</v>
      </c>
      <c r="AI35" s="139">
        <f t="shared" si="11"/>
        <v>-7.3584641695372301</v>
      </c>
    </row>
    <row r="36" spans="1:35" ht="15" customHeight="1" x14ac:dyDescent="0.2">
      <c r="A36" s="27">
        <f>Parametri!$B$6+B36</f>
        <v>2058</v>
      </c>
      <c r="B36" s="44">
        <v>31</v>
      </c>
      <c r="C36" s="29">
        <f>C35*(1+Parametri!$B$14)</f>
        <v>26.843693125818326</v>
      </c>
      <c r="D36" s="29">
        <f>D35*(1+Parametri!$B$15)+Parametri!$B$145*(1-Parametri!$B$15)^B35</f>
        <v>18.590487565029161</v>
      </c>
      <c r="E36" s="30">
        <f t="shared" si="0"/>
        <v>0.69254582362770289</v>
      </c>
      <c r="F36" s="31">
        <f>F35*(1+Parametri!$B$129)</f>
        <v>2454.6801334443758</v>
      </c>
      <c r="G36" s="32">
        <f>G35*(1+Parametri!$B$130)</f>
        <v>26700</v>
      </c>
      <c r="H36" s="31">
        <f t="shared" si="1"/>
        <v>353.47393921599007</v>
      </c>
      <c r="I36" s="33">
        <f>IF(B36&lt;=(Parametri!$B$35-Parametri!$B$6),Parametri!$B$32+(Parametri!$B$33-Parametri!$B$32)*B36/(Parametri!$B$35-Parametri!$B$6),Parametri!$B$33+(Parametri!$B$34-Parametri!$B$33)*(B36-(Parametri!$B$35-Parametri!$B$6))/(Parametri!$B$36-Parametri!$B$35))</f>
        <v>0.14399999999999999</v>
      </c>
      <c r="J36" s="31">
        <f t="shared" si="2"/>
        <v>269.81084766070671</v>
      </c>
      <c r="K36" s="33">
        <f t="shared" si="3"/>
        <v>0.10991690688518002</v>
      </c>
      <c r="L36" s="33">
        <f>IF(B36&lt;=5,Parametri!$B$58+(Parametri!$B$59-Parametri!$B$58)/5*B36,MIN(Parametri!$B$60,Parametri!$B$59+(Parametri!$B$60-Parametri!$B$59)/24*(B36-5)))</f>
        <v>1</v>
      </c>
      <c r="M36" s="29">
        <f t="shared" si="4"/>
        <v>18.590487565029161</v>
      </c>
      <c r="N36" s="34">
        <f>IF(B36&lt;Parametri!$B$76,Parametri!$B$75*Parametri!$B$74*Parametri!$B$73/Parametri!$B$76,0)</f>
        <v>0</v>
      </c>
      <c r="O36" s="35">
        <f>IF(B36&lt;10,Parametri!$B$53,IF(B36&lt;20,Parametri!$B$56,Parametri!$B$57))*M36*G36*Parametri!$B$72/1000</f>
        <v>12.06169423706657</v>
      </c>
      <c r="P36" s="35">
        <f>MIN(Parametri!$B$81+Parametri!$B$82,
Parametri!$B$81+Parametri!$B$82*(B36+1)/Parametri!$B$83)</f>
        <v>12.5</v>
      </c>
      <c r="Q36" s="35">
        <f>-IF(B36&lt;10,Parametri!$B$51,IF(B36&lt;20,Parametri!$B$54,Parametri!$B$57))*M36*G36/1000</f>
        <v>-44.672941618765073</v>
      </c>
      <c r="R36" s="35">
        <f t="shared" si="5"/>
        <v>44.672941618765073</v>
      </c>
      <c r="S36" s="35">
        <f t="shared" si="8"/>
        <v>815.98229522511565</v>
      </c>
      <c r="T36" s="36">
        <f>-(Parametri!$B$86*(Parametri!$B$87*Parametri!$B$90+Parametri!$B$88*Parametri!$B$91+Parametri!$B$89*Parametri!$B$92)/1000000000)*MIN(B36+1,Parametri!$B$93)</f>
        <v>-2.85975</v>
      </c>
      <c r="U36" s="36">
        <f>IF(B36&lt;Parametri!$B$125,Parametri!$B$46,IF(B36&lt;Parametri!$B$126,Parametri!$B$47,Parametri!$B$48))*Parametri!$B$96*13/1000000000*((B36+1)*Parametri!$B$121+B36*(B36+1)/2*Parametri!$B$122)</f>
        <v>102.41023103999999</v>
      </c>
      <c r="V36" s="35">
        <f>IF(B36&gt;=Parametri!$B$103-1,Parametri!$B$102*(1-Parametri!$B$127)^(B36-(Parametri!$B$103-1)),0)</f>
        <v>3.7555573280422747</v>
      </c>
      <c r="W36" s="35">
        <f>IF(B36&gt;=Parametri!$B$105-1,Parametri!$B$104,0)</f>
        <v>5</v>
      </c>
      <c r="X36" s="35">
        <f>IF(B36&gt;=Parametri!$B$107-1,Parametri!$B$106+Parametri!$B$128*INT((B36-(Parametri!$B$107-1))/2),0)</f>
        <v>4.8499999999999996</v>
      </c>
      <c r="Y36" s="34">
        <f>IF(AND(B36&gt;=Parametri!$B$109-1,B36&lt;Parametri!$B$109-1+Parametri!$B$140),Parametri!$B$108,0)</f>
        <v>0</v>
      </c>
      <c r="Z36" s="37">
        <f>IF(B36&lt;10,Parametri!$B$52,IF(B36&lt;20,Parametri!$B$55,0))*M36*G36/1000</f>
        <v>0</v>
      </c>
      <c r="AA36" s="38">
        <f>Parametri!$B$159*Parametri!$B$160</f>
        <v>0</v>
      </c>
      <c r="AB36" s="39">
        <f>(SUM(Z$5:Z36)+SUM(AA$5:AA36)-SUM(Z$5:Z21)-SUM(AA$5:AA21))</f>
        <v>23.655629161038334</v>
      </c>
      <c r="AC36" s="39">
        <f>-(Parametri!$B$67*SUM(Z$5:Z36)+Parametri!$B$161*SUM(AA$5:AA36))</f>
        <v>-1.8485686191120654</v>
      </c>
      <c r="AD36" s="39">
        <f t="shared" si="10"/>
        <v>-7.53313081194832</v>
      </c>
      <c r="AE36" s="41">
        <f t="shared" si="6"/>
        <v>83.663091555283344</v>
      </c>
      <c r="AF36" s="41">
        <f t="shared" si="9"/>
        <v>1243.953067911433</v>
      </c>
      <c r="AG36" s="42">
        <f t="shared" si="7"/>
        <v>-0.50676788839527287</v>
      </c>
      <c r="AH36" s="139">
        <f>SUM(Z$5:Z36)-SUM(Z$5:Z21)</f>
        <v>23.655629161038334</v>
      </c>
      <c r="AI36" s="139">
        <f t="shared" si="11"/>
        <v>-7.53313081194832</v>
      </c>
    </row>
    <row r="37" spans="1:35" ht="15" customHeight="1" x14ac:dyDescent="0.2">
      <c r="A37" s="27">
        <f>Parametri!$B$6+B37</f>
        <v>2059</v>
      </c>
      <c r="B37" s="44">
        <v>32</v>
      </c>
      <c r="C37" s="29">
        <f>C36*(1+Parametri!$B$14)</f>
        <v>27.004755284573235</v>
      </c>
      <c r="D37" s="29">
        <f>D36*(1+Parametri!$B$15)+Parametri!$B$145*(1-Parametri!$B$15)^B36</f>
        <v>18.632931148867954</v>
      </c>
      <c r="E37" s="30">
        <f t="shared" si="0"/>
        <v>0.68998703941272965</v>
      </c>
      <c r="F37" s="31">
        <f>F36*(1+Parametri!$B$129)</f>
        <v>2462.0441738447084</v>
      </c>
      <c r="G37" s="32">
        <f>G36*(1+Parametri!$B$130)</f>
        <v>26700</v>
      </c>
      <c r="H37" s="31">
        <f t="shared" si="1"/>
        <v>350.84129477287092</v>
      </c>
      <c r="I37" s="33">
        <f>IF(B37&lt;=(Parametri!$B$35-Parametri!$B$6),Parametri!$B$32+(Parametri!$B$33-Parametri!$B$32)*B37/(Parametri!$B$35-Parametri!$B$6),Parametri!$B$33+(Parametri!$B$34-Parametri!$B$33)*(B37-(Parametri!$B$35-Parametri!$B$6))/(Parametri!$B$36-Parametri!$B$35))</f>
        <v>0.14249999999999999</v>
      </c>
      <c r="J37" s="31">
        <f t="shared" si="2"/>
        <v>261.75025802338109</v>
      </c>
      <c r="K37" s="33">
        <f t="shared" si="3"/>
        <v>0.10631420053468578</v>
      </c>
      <c r="L37" s="33">
        <f>IF(B37&lt;=5,Parametri!$B$58+(Parametri!$B$59-Parametri!$B$58)/5*B37,MIN(Parametri!$B$60,Parametri!$B$59+(Parametri!$B$60-Parametri!$B$59)/24*(B37-5)))</f>
        <v>1</v>
      </c>
      <c r="M37" s="29">
        <f t="shared" si="4"/>
        <v>18.632931148867954</v>
      </c>
      <c r="N37" s="34">
        <f>IF(B37&lt;Parametri!$B$76,Parametri!$B$75*Parametri!$B$74*Parametri!$B$73/Parametri!$B$76,0)</f>
        <v>0</v>
      </c>
      <c r="O37" s="35">
        <f>IF(B37&lt;10,Parametri!$B$53,IF(B37&lt;20,Parametri!$B$56,Parametri!$B$57))*M37*G37*Parametri!$B$72/1000</f>
        <v>12.089232058697018</v>
      </c>
      <c r="P37" s="35">
        <f>MIN(Parametri!$B$81+Parametri!$B$82,
Parametri!$B$81+Parametri!$B$82*(B37+1)/Parametri!$B$83)</f>
        <v>12.5</v>
      </c>
      <c r="Q37" s="35">
        <f>-IF(B37&lt;10,Parametri!$B$51,IF(B37&lt;20,Parametri!$B$54,Parametri!$B$57))*M37*G37/1000</f>
        <v>-44.774933550729692</v>
      </c>
      <c r="R37" s="35">
        <f t="shared" si="5"/>
        <v>44.774933550729692</v>
      </c>
      <c r="S37" s="35">
        <f t="shared" si="8"/>
        <v>860.75722877584531</v>
      </c>
      <c r="T37" s="36">
        <f>-(Parametri!$B$86*(Parametri!$B$87*Parametri!$B$90+Parametri!$B$88*Parametri!$B$91+Parametri!$B$89*Parametri!$B$92)/1000000000)*MIN(B37+1,Parametri!$B$93)</f>
        <v>-2.85975</v>
      </c>
      <c r="U37" s="36">
        <f>IF(B37&lt;Parametri!$B$125,Parametri!$B$46,IF(B37&lt;Parametri!$B$126,Parametri!$B$47,Parametri!$B$48))*Parametri!$B$96*13/1000000000*((B37+1)*Parametri!$B$121+B37*(B37+1)/2*Parametri!$B$122)</f>
        <v>108.14444783999998</v>
      </c>
      <c r="V37" s="35">
        <f>IF(B37&gt;=Parametri!$B$103-1,Parametri!$B$102*(1-Parametri!$B$127)^(B37-(Parametri!$B$103-1)),0)</f>
        <v>3.699223968121641</v>
      </c>
      <c r="W37" s="35">
        <f>IF(B37&gt;=Parametri!$B$105-1,Parametri!$B$104,0)</f>
        <v>5</v>
      </c>
      <c r="X37" s="35">
        <f>IF(B37&gt;=Parametri!$B$107-1,Parametri!$B$106+Parametri!$B$128*INT((B37-(Parametri!$B$107-1))/2),0)</f>
        <v>4.8499999999999996</v>
      </c>
      <c r="Y37" s="34">
        <f>IF(AND(B37&gt;=Parametri!$B$109-1,B37&lt;Parametri!$B$109-1+Parametri!$B$140),Parametri!$B$108,0)</f>
        <v>0</v>
      </c>
      <c r="Z37" s="37">
        <f>IF(B37&lt;10,Parametri!$B$52,IF(B37&lt;20,Parametri!$B$55,0))*M37*G37/1000</f>
        <v>0</v>
      </c>
      <c r="AA37" s="38">
        <f>Parametri!$B$159*Parametri!$B$160</f>
        <v>0</v>
      </c>
      <c r="AB37" s="39">
        <f>(SUM(Z$5:Z37)+SUM(AA$5:AA37)-SUM(Z$5:Z22)-SUM(AA$5:AA22))</f>
        <v>15.947014213551299</v>
      </c>
      <c r="AC37" s="39">
        <f>-(Parametri!$B$67*SUM(Z$5:Z37)+Parametri!$B$161*SUM(AA$5:AA37))</f>
        <v>-1.8485686191120654</v>
      </c>
      <c r="AD37" s="39">
        <f t="shared" si="10"/>
        <v>-7.7086149474870282</v>
      </c>
      <c r="AE37" s="41">
        <f t="shared" si="6"/>
        <v>89.091036749489831</v>
      </c>
      <c r="AF37" s="41">
        <f t="shared" si="9"/>
        <v>1333.0441046609228</v>
      </c>
      <c r="AG37" s="42">
        <f t="shared" si="7"/>
        <v>-0.54143793146458941</v>
      </c>
      <c r="AH37" s="139">
        <f>SUM(Z$5:Z37)-SUM(Z$5:Z22)</f>
        <v>15.947014213551299</v>
      </c>
      <c r="AI37" s="139">
        <f t="shared" si="11"/>
        <v>-7.7086149474870282</v>
      </c>
    </row>
    <row r="38" spans="1:35" ht="15" customHeight="1" x14ac:dyDescent="0.2">
      <c r="A38" s="27">
        <f>Parametri!$B$6+B38</f>
        <v>2060</v>
      </c>
      <c r="B38" s="44">
        <v>33</v>
      </c>
      <c r="C38" s="29">
        <f>C37*(1+Parametri!$B$14)</f>
        <v>27.166783816280674</v>
      </c>
      <c r="D38" s="29">
        <f>D37*(1+Parametri!$B$15)+Parametri!$B$145*(1-Parametri!$B$15)^B37</f>
        <v>18.675839494895875</v>
      </c>
      <c r="E38" s="30">
        <f t="shared" si="0"/>
        <v>0.68745125007045205</v>
      </c>
      <c r="F38" s="31">
        <f>F37*(1+Parametri!$B$129)</f>
        <v>2469.4303063662423</v>
      </c>
      <c r="G38" s="32">
        <f>G37*(1+Parametri!$B$130)</f>
        <v>26700</v>
      </c>
      <c r="H38" s="31">
        <f t="shared" si="1"/>
        <v>348.18967319764016</v>
      </c>
      <c r="I38" s="43">
        <f>IF(B38&lt;=(Parametri!$B$35-Parametri!$B$6),Parametri!$B$32+(Parametri!$B$33-Parametri!$B$32)*B38/(Parametri!$B$35-Parametri!$B$6),Parametri!$B$33+(Parametri!$B$34-Parametri!$B$33)*(B38-(Parametri!$B$35-Parametri!$B$6))/(Parametri!$B$36-Parametri!$B$35))</f>
        <v>0.14099999999999999</v>
      </c>
      <c r="J38" s="31">
        <f t="shared" si="2"/>
        <v>253.37792188849218</v>
      </c>
      <c r="K38" s="43">
        <f t="shared" si="3"/>
        <v>0.10260582015020982</v>
      </c>
      <c r="L38" s="33">
        <f>IF(B38&lt;=5,Parametri!$B$58+(Parametri!$B$59-Parametri!$B$58)/5*B38,MIN(Parametri!$B$60,Parametri!$B$59+(Parametri!$B$60-Parametri!$B$59)/24*(B38-5)))</f>
        <v>1</v>
      </c>
      <c r="M38" s="29">
        <f t="shared" si="4"/>
        <v>18.675839494895875</v>
      </c>
      <c r="N38" s="34">
        <f>IF(B38&lt;Parametri!$B$76,Parametri!$B$75*Parametri!$B$74*Parametri!$B$73/Parametri!$B$76,0)</f>
        <v>0</v>
      </c>
      <c r="O38" s="35">
        <f>IF(B38&lt;10,Parametri!$B$53,IF(B38&lt;20,Parametri!$B$56,Parametri!$B$57))*M38*G38*Parametri!$B$72/1000</f>
        <v>12.117071422683395</v>
      </c>
      <c r="P38" s="35">
        <f>MIN(Parametri!$B$81+Parametri!$B$82,
Parametri!$B$81+Parametri!$B$82*(B38+1)/Parametri!$B$83)</f>
        <v>12.5</v>
      </c>
      <c r="Q38" s="35">
        <f>-IF(B38&lt;10,Parametri!$B$51,IF(B38&lt;20,Parametri!$B$54,Parametri!$B$57))*M38*G38/1000</f>
        <v>-44.878042306234789</v>
      </c>
      <c r="R38" s="35">
        <f t="shared" si="5"/>
        <v>44.878042306234789</v>
      </c>
      <c r="S38" s="35">
        <f t="shared" si="8"/>
        <v>905.63527108208007</v>
      </c>
      <c r="T38" s="36">
        <f>-(Parametri!$B$86*(Parametri!$B$87*Parametri!$B$90+Parametri!$B$88*Parametri!$B$91+Parametri!$B$89*Parametri!$B$92)/1000000000)*MIN(B38+1,Parametri!$B$93)</f>
        <v>-2.85975</v>
      </c>
      <c r="U38" s="36">
        <f>IF(B38&lt;Parametri!$B$125,Parametri!$B$46,IF(B38&lt;Parametri!$B$126,Parametri!$B$47,Parametri!$B$48))*Parametri!$B$96*13/1000000000*((B38+1)*Parametri!$B$121+B38*(B38+1)/2*Parametri!$B$122)</f>
        <v>114.03223415999999</v>
      </c>
      <c r="V38" s="35">
        <f>IF(B38&gt;=Parametri!$B$103-1,Parametri!$B$102*(1-Parametri!$B$127)^(B38-(Parametri!$B$103-1)),0)</f>
        <v>3.6437356085998163</v>
      </c>
      <c r="W38" s="35">
        <f>IF(B38&gt;=Parametri!$B$105-1,Parametri!$B$104,0)</f>
        <v>5</v>
      </c>
      <c r="X38" s="35">
        <f>IF(B38&gt;=Parametri!$B$107-1,Parametri!$B$106+Parametri!$B$128*INT((B38-(Parametri!$B$107-1))/2),0)</f>
        <v>4.99</v>
      </c>
      <c r="Y38" s="34">
        <f>IF(AND(B38&gt;=Parametri!$B$109-1,B38&lt;Parametri!$B$109-1+Parametri!$B$140),Parametri!$B$108,0)</f>
        <v>0</v>
      </c>
      <c r="Z38" s="37">
        <f>IF(B38&lt;10,Parametri!$B$52,IF(B38&lt;20,Parametri!$B$55,0))*M38*G38/1000</f>
        <v>0</v>
      </c>
      <c r="AA38" s="38">
        <f>Parametri!$B$159*Parametri!$B$160</f>
        <v>0</v>
      </c>
      <c r="AB38" s="39">
        <f>(SUM(Z$5:Z38)+SUM(AA$5:AA38)-SUM(Z$5:Z23)-SUM(AA$5:AA23))</f>
        <v>8.0620852567629413</v>
      </c>
      <c r="AC38" s="39">
        <f>-(Parametri!$B$67*SUM(Z$5:Z38)+Parametri!$B$161*SUM(AA$5:AA38))</f>
        <v>-1.8485686191120654</v>
      </c>
      <c r="AD38" s="39">
        <f t="shared" si="10"/>
        <v>-7.8849289567883609</v>
      </c>
      <c r="AE38" s="41">
        <f t="shared" si="6"/>
        <v>94.811751309147979</v>
      </c>
      <c r="AF38" s="41">
        <f t="shared" si="9"/>
        <v>1427.8558559700707</v>
      </c>
      <c r="AG38" s="42">
        <f t="shared" si="7"/>
        <v>-0.57821265588627013</v>
      </c>
      <c r="AH38" s="139">
        <f>SUM(Z$5:Z38)-SUM(Z$5:Z23)</f>
        <v>8.0620852567629413</v>
      </c>
      <c r="AI38" s="139">
        <f t="shared" si="11"/>
        <v>-7.8849289567883609</v>
      </c>
    </row>
  </sheetData>
  <mergeCells count="2">
    <mergeCell ref="A1:AA1"/>
    <mergeCell ref="A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90"/>
  <sheetViews>
    <sheetView topLeftCell="A11" zoomScaleNormal="100" workbookViewId="0">
      <selection activeCell="B84" sqref="B84"/>
    </sheetView>
  </sheetViews>
  <sheetFormatPr baseColWidth="10" defaultColWidth="8.83203125" defaultRowHeight="15" x14ac:dyDescent="0.2"/>
  <cols>
    <col min="1" max="1" width="22.1640625" customWidth="1"/>
    <col min="2" max="3" width="8.83203125" customWidth="1"/>
    <col min="4" max="28" width="9.6640625" customWidth="1"/>
    <col min="29" max="37" width="9.83203125" customWidth="1"/>
    <col min="38" max="38" width="8.83203125" customWidth="1"/>
  </cols>
  <sheetData>
    <row r="1" spans="1:37" ht="15" customHeight="1" x14ac:dyDescent="0.2">
      <c r="A1" s="110" t="s">
        <v>489</v>
      </c>
    </row>
    <row r="2" spans="1:37" ht="15" customHeight="1" x14ac:dyDescent="0.2">
      <c r="A2" t="s">
        <v>490</v>
      </c>
    </row>
    <row r="3" spans="1:37" ht="15" customHeight="1" x14ac:dyDescent="0.2">
      <c r="A3" t="s">
        <v>392</v>
      </c>
    </row>
    <row r="4" spans="1:37" ht="15" customHeight="1" x14ac:dyDescent="0.2">
      <c r="A4" t="s">
        <v>393</v>
      </c>
      <c r="B4" t="s">
        <v>394</v>
      </c>
      <c r="C4" t="s">
        <v>395</v>
      </c>
      <c r="D4">
        <v>2027</v>
      </c>
      <c r="E4">
        <v>2028</v>
      </c>
      <c r="F4">
        <v>2029</v>
      </c>
      <c r="G4">
        <v>2030</v>
      </c>
      <c r="H4">
        <v>2031</v>
      </c>
      <c r="I4">
        <v>2032</v>
      </c>
      <c r="J4">
        <v>2033</v>
      </c>
      <c r="K4">
        <v>2034</v>
      </c>
      <c r="L4">
        <v>2035</v>
      </c>
      <c r="M4">
        <v>2036</v>
      </c>
      <c r="N4">
        <v>2037</v>
      </c>
      <c r="O4">
        <v>2038</v>
      </c>
      <c r="P4">
        <v>2039</v>
      </c>
      <c r="Q4">
        <v>2040</v>
      </c>
      <c r="R4">
        <v>2041</v>
      </c>
      <c r="S4">
        <v>2042</v>
      </c>
      <c r="T4">
        <v>2043</v>
      </c>
      <c r="U4">
        <v>2044</v>
      </c>
      <c r="V4">
        <v>2045</v>
      </c>
      <c r="W4">
        <v>2046</v>
      </c>
      <c r="X4">
        <v>2047</v>
      </c>
      <c r="Y4">
        <v>2048</v>
      </c>
      <c r="Z4">
        <v>2049</v>
      </c>
      <c r="AA4">
        <v>2050</v>
      </c>
      <c r="AB4">
        <v>2051</v>
      </c>
      <c r="AC4">
        <v>2052</v>
      </c>
      <c r="AD4">
        <v>2053</v>
      </c>
      <c r="AE4">
        <v>2054</v>
      </c>
      <c r="AF4">
        <v>2055</v>
      </c>
      <c r="AG4">
        <v>2056</v>
      </c>
      <c r="AH4">
        <v>2057</v>
      </c>
      <c r="AI4">
        <v>2058</v>
      </c>
      <c r="AJ4">
        <v>2059</v>
      </c>
      <c r="AK4">
        <v>2060</v>
      </c>
    </row>
    <row r="5" spans="1:37" ht="15" customHeight="1" x14ac:dyDescent="0.2">
      <c r="A5" t="s">
        <v>491</v>
      </c>
      <c r="D5" s="118">
        <f>Modello_Pess!$R5</f>
        <v>6.1677000000000017</v>
      </c>
      <c r="E5" s="118">
        <f>Modello_Pess!$R6</f>
        <v>7.1886481920000005</v>
      </c>
      <c r="F5" s="118">
        <f>Modello_Pess!$R7</f>
        <v>8.2130883435000008</v>
      </c>
      <c r="G5" s="118">
        <f>Modello_Pess!$R8</f>
        <v>9.2410965233873981</v>
      </c>
      <c r="H5" s="118">
        <f>Modello_Pess!$R9</f>
        <v>10.272748971292762</v>
      </c>
      <c r="I5" s="118">
        <f>Modello_Pess!$R10</f>
        <v>11.308122100755163</v>
      </c>
      <c r="J5" s="118">
        <f>Modello_Pess!$R11</f>
        <v>11.642452155672128</v>
      </c>
      <c r="K5" s="118">
        <f>Modello_Pess!$R12</f>
        <v>11.97817335191368</v>
      </c>
      <c r="L5" s="118">
        <f>Modello_Pess!$R13</f>
        <v>12.315309780774658</v>
      </c>
      <c r="M5" s="118">
        <f>Modello_Pess!$R14</f>
        <v>12.653885596039359</v>
      </c>
      <c r="N5" s="118">
        <f>Modello_Pess!$R15</f>
        <v>19.490887522465819</v>
      </c>
      <c r="O5" s="118">
        <f>Modello_Pess!$R16</f>
        <v>20.003178479010874</v>
      </c>
      <c r="P5" s="118">
        <f>Modello_Pess!$R17</f>
        <v>20.51773778454746</v>
      </c>
      <c r="Q5" s="118">
        <f>Modello_Pess!$R18</f>
        <v>21.034602059657196</v>
      </c>
      <c r="R5" s="118">
        <f>Modello_Pess!$R19</f>
        <v>21.553808026157345</v>
      </c>
      <c r="S5" s="118">
        <f>Modello_Pess!$R20</f>
        <v>22.075392508611692</v>
      </c>
      <c r="T5" s="118">
        <f>Modello_Pess!$R21</f>
        <v>22.599392435844962</v>
      </c>
      <c r="U5" s="118">
        <f>Modello_Pess!$R22</f>
        <v>23.125844842461085</v>
      </c>
      <c r="V5" s="118">
        <f>Modello_Pess!$R23</f>
        <v>23.654786870365083</v>
      </c>
      <c r="W5" s="118">
        <f>Modello_Pess!$R24</f>
        <v>24.186255770288838</v>
      </c>
      <c r="X5" s="118">
        <f>Modello_Pess!$R25</f>
        <v>37.080433354981004</v>
      </c>
      <c r="Y5" s="118">
        <f>Modello_Pess!$R26</f>
        <v>37.885385613658279</v>
      </c>
      <c r="Z5" s="118">
        <f>Modello_Pess!$R27</f>
        <v>38.694296811073571</v>
      </c>
      <c r="AA5" s="118">
        <f>Modello_Pess!$R28</f>
        <v>39.50722349928877</v>
      </c>
      <c r="AB5" s="118">
        <f>Modello_Pess!$R29</f>
        <v>40.324222405137405</v>
      </c>
      <c r="AC5" s="118">
        <f>Modello_Pess!$R30</f>
        <v>41.145350432549179</v>
      </c>
      <c r="AD5" s="118">
        <f>Modello_Pess!$R31</f>
        <v>41.970664664880736</v>
      </c>
      <c r="AE5" s="118">
        <f>Modello_Pess!$R32</f>
        <v>42.8002223672528</v>
      </c>
      <c r="AF5" s="118">
        <f>Modello_Pess!$R33</f>
        <v>43.634080988893693</v>
      </c>
      <c r="AG5" s="118">
        <f>Modello_Pess!$R34</f>
        <v>44.472298165489391</v>
      </c>
      <c r="AH5" s="118">
        <f>Modello_Pess!$R35</f>
        <v>44.57206398840016</v>
      </c>
      <c r="AI5" s="118">
        <f>Modello_Pess!$R36</f>
        <v>44.672941618765073</v>
      </c>
      <c r="AJ5" s="118">
        <f>Modello_Pess!$R37</f>
        <v>44.774933550729692</v>
      </c>
      <c r="AK5" s="118">
        <f>Modello_Pess!$R38</f>
        <v>44.878042306234789</v>
      </c>
    </row>
    <row r="6" spans="1:37" ht="15" customHeight="1" x14ac:dyDescent="0.2">
      <c r="A6" t="s">
        <v>492</v>
      </c>
      <c r="D6" s="118">
        <f>Modello_Pess!Z5</f>
        <v>3.0838500000000004</v>
      </c>
      <c r="E6" s="118">
        <f>Modello_Pess!Z6</f>
        <v>3.5943240960000007</v>
      </c>
      <c r="F6" s="118">
        <f>Modello_Pess!Z7</f>
        <v>4.1065441717499995</v>
      </c>
      <c r="G6" s="118">
        <f>Modello_Pess!Z8</f>
        <v>4.620548261693699</v>
      </c>
      <c r="H6" s="118">
        <f>Modello_Pess!Z9</f>
        <v>5.1363744856463818</v>
      </c>
      <c r="I6" s="118">
        <f>Modello_Pess!Z10</f>
        <v>5.6540610503775817</v>
      </c>
      <c r="J6" s="118">
        <f>Modello_Pess!Z11</f>
        <v>5.8212260778360658</v>
      </c>
      <c r="K6" s="118">
        <f>Modello_Pess!Z12</f>
        <v>5.9890866759568429</v>
      </c>
      <c r="L6" s="118">
        <f>Modello_Pess!Z13</f>
        <v>6.1576548903873283</v>
      </c>
      <c r="M6" s="118">
        <f>Modello_Pess!Z14</f>
        <v>6.3269427980196795</v>
      </c>
      <c r="N6" s="118">
        <f>Modello_Pess!Z15</f>
        <v>6.4969625074886057</v>
      </c>
      <c r="O6" s="118">
        <f>Modello_Pess!Z16</f>
        <v>6.6677261596702913</v>
      </c>
      <c r="P6" s="118">
        <f>Modello_Pess!Z17</f>
        <v>6.8392459281824864</v>
      </c>
      <c r="Q6" s="118">
        <f>Modello_Pess!Z18</f>
        <v>7.0115340198857314</v>
      </c>
      <c r="R6" s="118">
        <f>Modello_Pess!Z19</f>
        <v>7.1846026753857819</v>
      </c>
      <c r="S6" s="118">
        <f>Modello_Pess!Z20</f>
        <v>7.3584641695372301</v>
      </c>
      <c r="T6" s="118">
        <f>Modello_Pess!Z21</f>
        <v>7.53313081194832</v>
      </c>
      <c r="U6" s="118">
        <f>Modello_Pess!Z22</f>
        <v>7.7086149474870282</v>
      </c>
      <c r="V6" s="118">
        <f>Modello_Pess!Z23</f>
        <v>7.8849289567883609</v>
      </c>
      <c r="W6" s="118">
        <f>Modello_Pess!Z24</f>
        <v>8.0620852567629466</v>
      </c>
      <c r="X6" s="118">
        <f>Modello_Pess!Z25</f>
        <v>0</v>
      </c>
      <c r="Y6" s="118">
        <f>Modello_Pess!Z26</f>
        <v>0</v>
      </c>
      <c r="Z6" s="118">
        <f>Modello_Pess!Z27</f>
        <v>0</v>
      </c>
      <c r="AA6" s="118">
        <f>Modello_Pess!Z28</f>
        <v>0</v>
      </c>
      <c r="AB6" s="118">
        <f>Modello_Pess!Z29</f>
        <v>0</v>
      </c>
      <c r="AC6" s="118">
        <f>Modello_Pess!Z30</f>
        <v>0</v>
      </c>
      <c r="AD6" s="118">
        <f>Modello_Pess!Z31</f>
        <v>0</v>
      </c>
      <c r="AE6" s="118">
        <f>Modello_Pess!Z32</f>
        <v>0</v>
      </c>
      <c r="AF6" s="118">
        <f>Modello_Pess!Z33</f>
        <v>0</v>
      </c>
      <c r="AG6" s="118">
        <f>Modello_Pess!Z34</f>
        <v>0</v>
      </c>
      <c r="AH6" s="118">
        <f>Modello_Pess!Z35</f>
        <v>0</v>
      </c>
      <c r="AI6" s="118">
        <f>Modello_Pess!Z36</f>
        <v>0</v>
      </c>
      <c r="AJ6" s="118">
        <f>Modello_Pess!Z37</f>
        <v>0</v>
      </c>
      <c r="AK6" s="118">
        <f>Modello_Pess!Z38</f>
        <v>0</v>
      </c>
    </row>
    <row r="8" spans="1:37" ht="15" customHeight="1" x14ac:dyDescent="0.2">
      <c r="A8" s="110" t="s">
        <v>432</v>
      </c>
    </row>
    <row r="9" spans="1:37" ht="15" customHeight="1" x14ac:dyDescent="0.2">
      <c r="A9" s="110" t="s">
        <v>433</v>
      </c>
      <c r="D9">
        <v>2027</v>
      </c>
      <c r="E9">
        <v>2028</v>
      </c>
      <c r="F9">
        <v>2029</v>
      </c>
      <c r="G9">
        <v>2030</v>
      </c>
      <c r="H9">
        <v>2031</v>
      </c>
      <c r="I9">
        <v>2032</v>
      </c>
      <c r="J9">
        <v>2033</v>
      </c>
      <c r="K9">
        <v>2034</v>
      </c>
      <c r="L9">
        <v>2035</v>
      </c>
      <c r="M9">
        <v>2036</v>
      </c>
      <c r="N9">
        <v>2037</v>
      </c>
      <c r="O9">
        <v>2038</v>
      </c>
      <c r="P9">
        <v>2039</v>
      </c>
      <c r="Q9">
        <v>2040</v>
      </c>
      <c r="R9">
        <v>2041</v>
      </c>
      <c r="S9">
        <v>2042</v>
      </c>
      <c r="T9">
        <v>2043</v>
      </c>
      <c r="U9">
        <v>2044</v>
      </c>
      <c r="V9">
        <v>2045</v>
      </c>
      <c r="W9">
        <v>2046</v>
      </c>
      <c r="X9">
        <v>2047</v>
      </c>
      <c r="Y9">
        <v>2048</v>
      </c>
      <c r="Z9">
        <v>2049</v>
      </c>
      <c r="AA9">
        <v>2050</v>
      </c>
      <c r="AB9">
        <v>2051</v>
      </c>
      <c r="AC9">
        <v>2052</v>
      </c>
      <c r="AD9">
        <v>2053</v>
      </c>
      <c r="AE9">
        <v>2054</v>
      </c>
      <c r="AF9">
        <v>2055</v>
      </c>
      <c r="AG9">
        <v>2056</v>
      </c>
      <c r="AH9">
        <v>2057</v>
      </c>
      <c r="AI9">
        <v>2058</v>
      </c>
      <c r="AJ9">
        <v>2059</v>
      </c>
      <c r="AK9">
        <v>2060</v>
      </c>
    </row>
    <row r="10" spans="1:37" ht="15" customHeight="1" x14ac:dyDescent="0.2">
      <c r="A10" t="s">
        <v>434</v>
      </c>
      <c r="B10" s="112">
        <v>7.4999999999999997E-3</v>
      </c>
      <c r="C10" s="112">
        <v>5.0000000000000001E-3</v>
      </c>
      <c r="D10" s="111">
        <f>D5</f>
        <v>6.1677000000000017</v>
      </c>
      <c r="E10" s="111">
        <f>D10*(1+$C10)+E5+Modello_Pess!AH5*$B10-Modello_Pess!AI6</f>
        <v>13.410315567000001</v>
      </c>
      <c r="F10" s="111">
        <f>E10*(1+$C10)+F5+Modello_Pess!AH6*$B10-Modello_Pess!AI7</f>
        <v>21.740541794055002</v>
      </c>
      <c r="G10" s="111">
        <f>F10*(1+$C10)+G5+Modello_Pess!AH7*$B10-Modello_Pess!AI8</f>
        <v>31.171226413420797</v>
      </c>
      <c r="H10" s="111">
        <f>G10*(1+$C10)+H5+Modello_Pess!AH8*$B10-Modello_Pess!AI9</f>
        <v>41.715371015751487</v>
      </c>
      <c r="I10" s="111">
        <f>H10*(1+$C10)+I5+Modello_Pess!AH9*$B10-Modello_Pess!AI10</f>
        <v>53.386132279198577</v>
      </c>
      <c r="J10" s="111">
        <f>I10*(1+$C10)+J5+Modello_Pess!AH10*$B10-Modello_Pess!AI11</f>
        <v>65.491982861757705</v>
      </c>
      <c r="K10" s="111">
        <f>J10*(1+$C10)+K5+Modello_Pess!AH11*$B10-Modello_Pess!AI12</f>
        <v>78.037743089054942</v>
      </c>
      <c r="L10" s="111">
        <f>K10*(1+$C10)+L5+Modello_Pess!AH12*$B10-Modello_Pess!AI13</f>
        <v>91.028286696419315</v>
      </c>
      <c r="M10" s="111">
        <f>L10*(1+$C10)+M5+Modello_Pess!AH13*$B10-Modello_Pess!AI14</f>
        <v>104.46854124876312</v>
      </c>
      <c r="N10" s="111">
        <f>M10*(1+$C10)+N5+Modello_Pess!AH14*$B10-Modello_Pess!AI15</f>
        <v>124.86045107128024</v>
      </c>
      <c r="O10" s="111">
        <f>N10*(1+$C10)+O5+Modello_Pess!AH15*$B10-Modello_Pess!AI16</f>
        <v>145.91533861826116</v>
      </c>
      <c r="P10" s="111">
        <f>O10*(1+$C10)+P5+Modello_Pess!AH16*$B10-Modello_Pess!AI17</f>
        <v>167.64006785471111</v>
      </c>
      <c r="Q10" s="111">
        <f>P10*(1+$C10)+Q5+Modello_Pess!AH17*$B10-Modello_Pess!AI18</f>
        <v>190.04157935691441</v>
      </c>
      <c r="R10" s="111">
        <f>Q10*(1+$C10)+R5+Modello_Pess!AH18*$B10-Modello_Pess!AI19</f>
        <v>213.12689088827801</v>
      </c>
      <c r="S10" s="111">
        <f>R10*(1+$C10)+S5+Modello_Pess!AH19*$B10-Modello_Pess!AI20</f>
        <v>239.98694797981818</v>
      </c>
      <c r="T10" s="111">
        <f>S10*(1+$C10)+T5+Modello_Pess!AH20*$B10-Modello_Pess!AI21</f>
        <v>268.04783898632087</v>
      </c>
      <c r="U10" s="111">
        <f>T10*(1+$C10)+U5+Modello_Pess!AH21*$B10-Modello_Pess!AI22</f>
        <v>297.31724798059179</v>
      </c>
      <c r="V10" s="111">
        <f>U10*(1+$C10)+V5+Modello_Pess!AH22*$B10-Modello_Pess!AI23</f>
        <v>327.80296566849972</v>
      </c>
      <c r="W10" s="111">
        <f>V10*(1+$C10)+W5+Modello_Pess!AH23*$B10-Modello_Pess!AI24</f>
        <v>359.51288992393688</v>
      </c>
      <c r="X10" s="111">
        <f>W10*(1+$C10)+X5+Modello_Pess!AH24*$B10-Modello_Pess!AI25</f>
        <v>404.81517078085795</v>
      </c>
      <c r="Y10" s="111">
        <f>X10*(1+$C10)+Y5+Modello_Pess!AH25*$B10-Modello_Pess!AI26</f>
        <v>451.2736748703216</v>
      </c>
      <c r="Z10" s="111">
        <f>Y10*(1+$C10)+Z5+Modello_Pess!AH26*$B10-Modello_Pess!AI27</f>
        <v>498.89758408018486</v>
      </c>
      <c r="AA10" s="111">
        <f>Z10*(1+$C10)+AA5+Modello_Pess!AH27*$B10-Modello_Pess!AI28</f>
        <v>547.69618958867341</v>
      </c>
      <c r="AB10" s="111">
        <f>AA10*(1+$C10)+AB5+Modello_Pess!AH28*$B10-Modello_Pess!AI29</f>
        <v>597.67889252650752</v>
      </c>
      <c r="AC10" s="111">
        <f>AB10*(1+$C10)+AC5+Modello_Pess!AH29*$B10-Modello_Pess!AI30</f>
        <v>648.8552046449264</v>
      </c>
      <c r="AD10" s="111">
        <f>AC10*(1+$C10)+AD5+Modello_Pess!AH30*$B10-Modello_Pess!AI31</f>
        <v>701.23474898964434</v>
      </c>
      <c r="AE10" s="111">
        <f>AD10*(1+$C10)+AE5+Modello_Pess!AH31*$B10-Modello_Pess!AI32</f>
        <v>754.82726058077253</v>
      </c>
      <c r="AF10" s="111">
        <f>AE10*(1+$C10)+AF5+Modello_Pess!AH32*$B10-Modello_Pess!AI33</f>
        <v>809.64258709873923</v>
      </c>
      <c r="AG10" s="111">
        <f>AF10*(1+$C10)+AG5+Modello_Pess!AH33*$B10-Modello_Pess!AI34</f>
        <v>865.69068957624245</v>
      </c>
      <c r="AH10" s="111">
        <f>AG10*(1+$C10)+AH5+Modello_Pess!AH34*$B10-Modello_Pess!AI35</f>
        <v>922.23877536312989</v>
      </c>
      <c r="AI10" s="111">
        <f>AH10*(1+$C10)+AI5+Modello_Pess!AH35*$B10-Modello_Pess!AI36</f>
        <v>979.28995737045636</v>
      </c>
      <c r="AJ10" s="111">
        <f>AI10*(1+$C10)+AJ5+Modello_Pess!AH36*$B10-Modello_Pess!AI37</f>
        <v>1036.8473728742331</v>
      </c>
      <c r="AK10" s="111">
        <f>AJ10*(1+$C10)+AK5+Modello_Pess!AH37*$B10-Modello_Pess!AI38</f>
        <v>1094.914183608229</v>
      </c>
    </row>
    <row r="11" spans="1:37" ht="15" customHeight="1" x14ac:dyDescent="0.2">
      <c r="A11" t="s">
        <v>435</v>
      </c>
      <c r="B11" s="112">
        <v>7.4999999999999997E-3</v>
      </c>
      <c r="C11" s="112">
        <v>1.2500000000000001E-2</v>
      </c>
      <c r="D11" s="111">
        <f>D5</f>
        <v>6.1677000000000017</v>
      </c>
      <c r="E11" s="111">
        <f>D11*(1+$C11)+E5+Modello_Pess!AH5*$B11-Modello_Pess!AI6</f>
        <v>13.456573317000002</v>
      </c>
      <c r="F11" s="111">
        <f>E11*(1+$C11)+F5+Modello_Pess!AH6*$B11-Modello_Pess!AI7</f>
        <v>21.887955132682503</v>
      </c>
      <c r="G11" s="111">
        <f>F11*(1+$C11)+G5+Modello_Pess!AH7*$B11-Modello_Pess!AI8</f>
        <v>31.483536482236556</v>
      </c>
      <c r="H11" s="111">
        <f>G11*(1+$C11)+H5+Modello_Pess!AH8*$B11-Modello_Pess!AI9</f>
        <v>42.265369158528095</v>
      </c>
      <c r="I11" s="111">
        <f>H11*(1+$C11)+I5+Modello_Pess!AH9*$B11-Modello_Pess!AI10</f>
        <v>54.255870681378035</v>
      </c>
      <c r="J11" s="111">
        <f>I11*(1+$C11)+J5+Modello_Pess!AH10*$B11-Modello_Pess!AI11</f>
        <v>66.772988986058394</v>
      </c>
      <c r="K11" s="111">
        <f>J11*(1+$C11)+K5+Modello_Pess!AH11*$B11-Modello_Pess!AI12</f>
        <v>79.825951661372585</v>
      </c>
      <c r="L11" s="111">
        <f>K11*(1+$C11)+L5+Modello_Pess!AH12*$B11-Modello_Pess!AI13</f>
        <v>93.424130949058849</v>
      </c>
      <c r="M11" s="111">
        <f>L11*(1+$C11)+M5+Modello_Pess!AH13*$B11-Modello_Pess!AI14</f>
        <v>107.5770457047838</v>
      </c>
      <c r="N11" s="111">
        <f>M11*(1+$C11)+N5+Modello_Pess!AH14*$B11-Modello_Pess!AI15</f>
        <v>128.79132589236693</v>
      </c>
      <c r="O11" s="111">
        <f>N11*(1+$C11)+O5+Modello_Pess!AH15*$B11-Modello_Pess!AI16</f>
        <v>150.83180275764605</v>
      </c>
      <c r="P11" s="111">
        <f>O11*(1+$C11)+P5+Modello_Pess!AH16*$B11-Modello_Pess!AI17</f>
        <v>173.71235283547526</v>
      </c>
      <c r="Q11" s="111">
        <f>P11*(1+$C11)+Q5+Modello_Pess!AH17*$B11-Modello_Pess!AI18</f>
        <v>197.44706840884848</v>
      </c>
      <c r="R11" s="111">
        <f>Q11*(1+$C11)+R5+Modello_Pess!AH18*$B11-Modello_Pess!AI19</f>
        <v>222.05026039853814</v>
      </c>
      <c r="S11" s="111">
        <f>R11*(1+$C11)+S5+Modello_Pess!AH19*$B11-Modello_Pess!AI20</f>
        <v>250.62031129061864</v>
      </c>
      <c r="T11" s="111">
        <f>S11*(1+$C11)+T5+Modello_Pess!AH20*$B11-Modello_Pess!AI21</f>
        <v>280.61402144835495</v>
      </c>
      <c r="U11" s="111">
        <f>T11*(1+$C11)+U5+Modello_Pess!AH21*$B11-Modello_Pess!AI22</f>
        <v>312.0508665157987</v>
      </c>
      <c r="V11" s="111">
        <f>U11*(1+$C11)+V5+Modello_Pess!AH22*$B11-Modello_Pess!AI23</f>
        <v>344.95063379525118</v>
      </c>
      <c r="W11" s="111">
        <f>V11*(1+$C11)+W5+Modello_Pess!AH23*$B11-Modello_Pess!AI24</f>
        <v>379.33342614478653</v>
      </c>
      <c r="X11" s="111">
        <f>W11*(1+$C11)+X5+Modello_Pess!AH24*$B11-Modello_Pess!AI25</f>
        <v>427.57981037889778</v>
      </c>
      <c r="Y11" s="111">
        <f>X11*(1+$C11)+Y5+Modello_Pess!AH25*$B11-Modello_Pess!AI26</f>
        <v>477.35898624419337</v>
      </c>
      <c r="Z11" s="111">
        <f>Y11*(1+$C11)+Z5+Modello_Pess!AH26*$B11-Modello_Pess!AI27</f>
        <v>528.69351440775733</v>
      </c>
      <c r="AA11" s="111">
        <f>Z11*(1+$C11)+AA5+Modello_Pess!AH27*$B11-Modello_Pess!AI28</f>
        <v>581.60630092594204</v>
      </c>
      <c r="AB11" s="111">
        <f>AA11*(1+$C11)+AB5+Modello_Pess!AH28*$B11-Modello_Pess!AI29</f>
        <v>636.12060167740708</v>
      </c>
      <c r="AC11" s="111">
        <f>AB11*(1+$C11)+AC5+Modello_Pess!AH29*$B11-Modello_Pess!AI30</f>
        <v>692.26002685416097</v>
      </c>
      <c r="AD11" s="111">
        <f>AC11*(1+$C11)+AD5+Modello_Pess!AH30*$B11-Modello_Pess!AI31</f>
        <v>750.04854551133133</v>
      </c>
      <c r="AE11" s="111">
        <f>AD11*(1+$C11)+AE5+Modello_Pess!AH31*$B11-Modello_Pess!AI32</f>
        <v>809.51049017640298</v>
      </c>
      <c r="AF11" s="111">
        <f>AE11*(1+$C11)+AF5+Modello_Pess!AH32*$B11-Modello_Pess!AI33</f>
        <v>870.67056151867087</v>
      </c>
      <c r="AG11" s="111">
        <f>AF11*(1+$C11)+AG5+Modello_Pess!AH33*$B11-Modello_Pess!AI34</f>
        <v>933.55383307966372</v>
      </c>
      <c r="AH11" s="111">
        <f>AG11*(1+$C11)+AH5+Modello_Pess!AH34*$B11-Modello_Pess!AI35</f>
        <v>997.44288833216581</v>
      </c>
      <c r="AI11" s="111">
        <f>AH11*(1+$C11)+AI5+Modello_Pess!AH35*$B11-Modello_Pess!AI36</f>
        <v>1062.3509125668284</v>
      </c>
      <c r="AJ11" s="111">
        <f>AI11*(1+$C11)+AJ5+Modello_Pess!AH36*$B11-Modello_Pess!AI37</f>
        <v>1128.291264690838</v>
      </c>
      <c r="AK11" s="111">
        <f>AJ11*(1+$C11)+AK5+Modello_Pess!AH37*$B11-Modello_Pess!AI38</f>
        <v>1195.2774793690983</v>
      </c>
    </row>
    <row r="12" spans="1:37" ht="15" customHeight="1" x14ac:dyDescent="0.2">
      <c r="A12" t="s">
        <v>436</v>
      </c>
      <c r="B12" s="112">
        <v>7.4999999999999997E-3</v>
      </c>
      <c r="C12" s="112">
        <v>2.5000000000000001E-2</v>
      </c>
      <c r="D12" s="111">
        <f>D5</f>
        <v>6.1677000000000017</v>
      </c>
      <c r="E12" s="111">
        <f>D12*(1+$C12)+E5+Modello_Pess!AH5*$B12-Modello_Pess!AI6</f>
        <v>13.533669567000002</v>
      </c>
      <c r="F12" s="111">
        <f>E12*(1+$C12)+F5+Modello_Pess!AH6*$B12-Modello_Pess!AI7</f>
        <v>22.135185955395002</v>
      </c>
      <c r="G12" s="111">
        <f>F12*(1+$C12)+G5+Modello_Pess!AH7*$B12-Modello_Pess!AI8</f>
        <v>32.010547514675402</v>
      </c>
      <c r="H12" s="111">
        <f>G12*(1+$C12)+H5+Modello_Pess!AH8*$B12-Modello_Pess!AI9</f>
        <v>43.199099672805872</v>
      </c>
      <c r="I12" s="111">
        <f>H12*(1+$C12)+I5+Modello_Pess!AH9*$B12-Modello_Pess!AI10</f>
        <v>55.741261572994354</v>
      </c>
      <c r="J12" s="111">
        <f>I12*(1+$C12)+J5+Modello_Pess!AH10*$B12-Modello_Pess!AI11</f>
        <v>68.973713033482341</v>
      </c>
      <c r="K12" s="111">
        <f>J12*(1+$C12)+K5+Modello_Pess!AH11*$B12-Modello_Pess!AI12</f>
        <v>82.916356172307857</v>
      </c>
      <c r="L12" s="111">
        <f>K12*(1+$C12)+L5+Modello_Pess!AH12*$B12-Modello_Pess!AI13</f>
        <v>97.589619968534663</v>
      </c>
      <c r="M12" s="111">
        <f>L12*(1+$C12)+M5+Modello_Pess!AH13*$B12-Modello_Pess!AI14</f>
        <v>113.01447358660974</v>
      </c>
      <c r="N12" s="111">
        <f>M12*(1+$C12)+N5+Modello_Pess!AH14*$B12-Modello_Pess!AI15</f>
        <v>135.7094025425483</v>
      </c>
      <c r="O12" s="111">
        <f>N12*(1+$C12)+O5+Modello_Pess!AH15*$B12-Modello_Pess!AI16</f>
        <v>159.53272289773653</v>
      </c>
      <c r="P12" s="111">
        <f>O12*(1+$C12)+P5+Modello_Pess!AH16*$B12-Modello_Pess!AI17</f>
        <v>184.51619351353858</v>
      </c>
      <c r="Q12" s="111">
        <f>P12*(1+$C12)+Q5+Modello_Pess!AH17*$B12-Modello_Pess!AI18</f>
        <v>210.6924095143068</v>
      </c>
      <c r="R12" s="111">
        <f>Q12*(1+$C12)+R5+Modello_Pess!AH18*$B12-Modello_Pess!AI19</f>
        <v>238.09482338674351</v>
      </c>
      <c r="S12" s="111">
        <f>R12*(1+$C12)+S5+Modello_Pess!AH19*$B12-Modello_Pess!AI20</f>
        <v>269.84161660851083</v>
      </c>
      <c r="T12" s="111">
        <f>S12*(1+$C12)+T5+Modello_Pess!AH20*$B12-Modello_Pess!AI21</f>
        <v>303.44861329032716</v>
      </c>
      <c r="U12" s="111">
        <f>T12*(1+$C12)+U5+Modello_Pess!AH21*$B12-Modello_Pess!AI22</f>
        <v>338.96399842192466</v>
      </c>
      <c r="V12" s="111">
        <f>U12*(1+$C12)+V5+Modello_Pess!AH22*$B12-Modello_Pess!AI23</f>
        <v>376.4372298304778</v>
      </c>
      <c r="W12" s="111">
        <f>V12*(1+$C12)+W5+Modello_Pess!AH23*$B12-Modello_Pess!AI24</f>
        <v>415.91907000333441</v>
      </c>
      <c r="X12" s="111">
        <f>W12*(1+$C12)+X5+Modello_Pess!AH24*$B12-Modello_Pess!AI25</f>
        <v>469.82176316071917</v>
      </c>
      <c r="Y12" s="111">
        <f>X12*(1+$C12)+Y5+Modello_Pess!AH25*$B12-Modello_Pess!AI26</f>
        <v>526.00173547529641</v>
      </c>
      <c r="Z12" s="111">
        <f>Y12*(1+$C12)+Z5+Modello_Pess!AH26*$B12-Modello_Pess!AI27</f>
        <v>584.51931969769032</v>
      </c>
      <c r="AA12" s="111">
        <f>Z12*(1+$C12)+AA5+Modello_Pess!AH27*$B12-Modello_Pess!AI28</f>
        <v>645.43642027822023</v>
      </c>
      <c r="AB12" s="111">
        <f>AA12*(1+$C12)+AB5+Modello_Pess!AH28*$B12-Modello_Pess!AI29</f>
        <v>708.8165527750665</v>
      </c>
      <c r="AC12" s="111">
        <f>AB12*(1+$C12)+AC5+Modello_Pess!AH29*$B12-Modello_Pess!AI30</f>
        <v>774.72488425022948</v>
      </c>
      <c r="AD12" s="111">
        <f>AC12*(1+$C12)+AD5+Modello_Pess!AH30*$B12-Modello_Pess!AI31</f>
        <v>843.22827467797856</v>
      </c>
      <c r="AE12" s="111">
        <f>AD12*(1+$C12)+AE5+Modello_Pess!AH31*$B12-Modello_Pess!AI32</f>
        <v>914.39531939110805</v>
      </c>
      <c r="AF12" s="111">
        <f>AE12*(1+$C12)+AF5+Modello_Pess!AH32*$B12-Modello_Pess!AI33</f>
        <v>988.29639259094859</v>
      </c>
      <c r="AG12" s="111">
        <f>AF12*(1+$C12)+AG5+Modello_Pess!AH33*$B12-Modello_Pess!AI34</f>
        <v>1065.0036919477318</v>
      </c>
      <c r="AH12" s="111">
        <f>AG12*(1+$C12)+AH5+Modello_Pess!AH34*$B12-Modello_Pess!AI35</f>
        <v>1143.8484165854316</v>
      </c>
      <c r="AI12" s="111">
        <f>AH12*(1+$C12)+AI5+Modello_Pess!AH35*$B12-Modello_Pess!AI36</f>
        <v>1224.8846151305777</v>
      </c>
      <c r="AJ12" s="111">
        <f>AI12*(1+$C12)+AJ5+Modello_Pess!AH36*$B12-Modello_Pess!AI37</f>
        <v>1308.1676962257666</v>
      </c>
      <c r="AK12" s="111">
        <f>AJ12*(1+$C12)+AK5+Modello_Pess!AH37*$B12-Modello_Pess!AI38</f>
        <v>1393.7544625010355</v>
      </c>
    </row>
    <row r="13" spans="1:37" ht="15" customHeight="1" x14ac:dyDescent="0.2">
      <c r="A13" t="s">
        <v>437</v>
      </c>
      <c r="B13" s="112">
        <v>7.4999999999999997E-3</v>
      </c>
      <c r="C13" s="112">
        <v>0.04</v>
      </c>
      <c r="D13" s="111">
        <f>D5</f>
        <v>6.1677000000000017</v>
      </c>
      <c r="E13" s="111">
        <f>D13*(1+$C13)+E5+Modello_Pess!AH5*$B13-Modello_Pess!AI6</f>
        <v>13.626185067000002</v>
      </c>
      <c r="F13" s="111">
        <f>E13*(1+$C13)+F5+Modello_Pess!AH6*$B13-Modello_Pess!AI7</f>
        <v>22.434407118900005</v>
      </c>
      <c r="G13" s="111">
        <f>F13*(1+$C13)+G5+Modello_Pess!AH7*$B13-Modello_Pess!AI8</f>
        <v>32.653765314051526</v>
      </c>
      <c r="H13" s="111">
        <f>G13*(1+$C13)+H5+Modello_Pess!AH8*$B13-Modello_Pess!AI9</f>
        <v>44.348204396877179</v>
      </c>
      <c r="I13" s="111">
        <f>H13*(1+$C13)+I5+Modello_Pess!AH9*$B13-Modello_Pess!AI10</f>
        <v>57.584316981120608</v>
      </c>
      <c r="J13" s="111">
        <f>I13*(1+$C13)+J5+Modello_Pess!AH10*$B13-Modello_Pess!AI11</f>
        <v>71.726609581528564</v>
      </c>
      <c r="K13" s="111">
        <f>J13*(1+$C13)+K5+Modello_Pess!AH11*$B13-Modello_Pess!AI12</f>
        <v>86.813974277778172</v>
      </c>
      <c r="L13" s="111">
        <f>K13*(1+$C13)+L5+Modello_Pess!AH12*$B13-Modello_Pess!AI13</f>
        <v>102.88688814080841</v>
      </c>
      <c r="M13" s="111">
        <f>L13*(1+$C13)+M5+Modello_Pess!AH13*$B13-Modello_Pess!AI14</f>
        <v>119.98747678530246</v>
      </c>
      <c r="N13" s="111">
        <f>M13*(1+$C13)+N5+Modello_Pess!AH14*$B13-Modello_Pess!AI15</f>
        <v>144.65654297298789</v>
      </c>
      <c r="O13" s="111">
        <f>N13*(1+$C13)+O5+Modello_Pess!AH15*$B13-Modello_Pess!AI16</f>
        <v>170.87338998353195</v>
      </c>
      <c r="P13" s="111">
        <f>O13*(1+$C13)+P5+Modello_Pess!AH16*$B13-Modello_Pess!AI17</f>
        <v>198.70347812623189</v>
      </c>
      <c r="Q13" s="111">
        <f>P13*(1+$C13)+Q5+Modello_Pess!AH17*$B13-Modello_Pess!AI18</f>
        <v>228.21492841421096</v>
      </c>
      <c r="R13" s="111">
        <f>Q13*(1+$C13)+R5+Modello_Pess!AH18*$B13-Modello_Pess!AI19</f>
        <v>259.4786291853585</v>
      </c>
      <c r="S13" s="111">
        <f>R13*(1+$C13)+S5+Modello_Pess!AH19*$B13-Modello_Pess!AI20</f>
        <v>295.65219698987158</v>
      </c>
      <c r="T13" s="111">
        <f>S13*(1+$C13)+T5+Modello_Pess!AH20*$B13-Modello_Pess!AI21</f>
        <v>334.33924113607003</v>
      </c>
      <c r="U13" s="111">
        <f>T13*(1+$C13)+U5+Modello_Pess!AH21*$B13-Modello_Pess!AI22</f>
        <v>375.64198058085213</v>
      </c>
      <c r="V13" s="111">
        <f>U13*(1+$C13)+V5+Modello_Pess!AH22*$B13-Modello_Pess!AI23</f>
        <v>419.66679125209123</v>
      </c>
      <c r="W13" s="111">
        <f>V13*(1+$C13)+W5+Modello_Pess!AH23*$B13-Modello_Pess!AI24</f>
        <v>466.52437232926962</v>
      </c>
      <c r="X13" s="111">
        <f>W13*(1+$C13)+X5+Modello_Pess!AH24*$B13-Modello_Pess!AI25</f>
        <v>528.69006362974187</v>
      </c>
      <c r="Y13" s="111">
        <f>X13*(1+$C13)+Y5+Modello_Pess!AH25*$B13-Modello_Pess!AI26</f>
        <v>594.27209441049092</v>
      </c>
      <c r="Z13" s="111">
        <f>Y13*(1+$C13)+Z5+Modello_Pess!AH26*$B13-Modello_Pess!AI27</f>
        <v>663.41051902242214</v>
      </c>
      <c r="AA13" s="111">
        <f>Z13*(1+$C13)+AA5+Modello_Pess!AH27*$B13-Modello_Pess!AI28</f>
        <v>736.25105737140677</v>
      </c>
      <c r="AB13" s="111">
        <f>AA13*(1+$C13)+AB5+Modello_Pess!AH28*$B13-Modello_Pess!AI29</f>
        <v>812.94532165615385</v>
      </c>
      <c r="AC13" s="111">
        <f>AB13*(1+$C13)+AC5+Modello_Pess!AH29*$B13-Modello_Pess!AI30</f>
        <v>893.65105217818643</v>
      </c>
      <c r="AD13" s="111">
        <f>AC13*(1+$C13)+AD5+Modello_Pess!AH30*$B13-Modello_Pess!AI31</f>
        <v>978.53236258680738</v>
      </c>
      <c r="AE13" s="111">
        <f>AD13*(1+$C13)+AE5+Modello_Pess!AH31*$B13-Modello_Pess!AI32</f>
        <v>1067.7599949364599</v>
      </c>
      <c r="AF13" s="111">
        <f>AE13*(1+$C13)+AF5+Modello_Pess!AH32*$B13-Modello_Pess!AI33</f>
        <v>1161.511584948981</v>
      </c>
      <c r="AG13" s="111">
        <f>AF13*(1+$C13)+AG5+Modello_Pess!AH33*$B13-Modello_Pess!AI34</f>
        <v>1259.9719378889497</v>
      </c>
      <c r="AH13" s="111">
        <f>AG13*(1+$C13)+AH5+Modello_Pess!AH34*$B13-Modello_Pess!AI35</f>
        <v>1362.5904477435142</v>
      </c>
      <c r="AI13" s="111">
        <f>AH13*(1+$C13)+AI5+Modello_Pess!AH35*$B13-Modello_Pess!AI36</f>
        <v>1469.5340537837653</v>
      </c>
      <c r="AJ13" s="111">
        <f>AI13*(1+$C13)+AJ5+Modello_Pess!AH36*$B13-Modello_Pess!AI37</f>
        <v>1580.9763816520406</v>
      </c>
      <c r="AK13" s="111">
        <f>AJ13*(1+$C13)+AK5+Modello_Pess!AH37*$B13-Modello_Pess!AI38</f>
        <v>1697.0980107877472</v>
      </c>
    </row>
    <row r="14" spans="1:37" ht="15" customHeight="1" x14ac:dyDescent="0.2">
      <c r="A14" t="s">
        <v>438</v>
      </c>
      <c r="B14" s="112">
        <v>1.4999999999999999E-2</v>
      </c>
      <c r="C14" s="112">
        <v>5.0000000000000001E-3</v>
      </c>
      <c r="D14" s="111">
        <f>D5</f>
        <v>6.1677000000000017</v>
      </c>
      <c r="E14" s="111">
        <f>D14*(1+$C14)+E5+Modello_Pess!AH5*$B14-Modello_Pess!AI6</f>
        <v>13.433444442000003</v>
      </c>
      <c r="F14" s="111">
        <f>E14*(1+$C14)+F5+Modello_Pess!AH6*$B14-Modello_Pess!AI7</f>
        <v>21.813872619150004</v>
      </c>
      <c r="G14" s="111">
        <f>F14*(1+$C14)+G5+Modello_Pess!AH7*$B14-Modello_Pess!AI8</f>
        <v>31.325809279649402</v>
      </c>
      <c r="H14" s="111">
        <f>G14*(1+$C14)+H5+Modello_Pess!AH8*$B14-Modello_Pess!AI9</f>
        <v>41.986266295282064</v>
      </c>
      <c r="I14" s="111">
        <f>H14*(1+$C14)+I5+Modello_Pess!AH9*$B14-Modello_Pess!AI10</f>
        <v>53.812444342739987</v>
      </c>
      <c r="J14" s="111">
        <f>I14*(1+$C14)+J5+Modello_Pess!AH10*$B14-Modello_Pess!AI11</f>
        <v>66.116894251107823</v>
      </c>
      <c r="K14" s="111">
        <f>J14*(1+$C14)+K5+Modello_Pess!AH11*$B14-Modello_Pess!AI12</f>
        <v>78.905905996426597</v>
      </c>
      <c r="L14" s="111">
        <f>K14*(1+$C14)+L5+Modello_Pess!AH12*$B14-Modello_Pess!AI13</f>
        <v>92.185835529472286</v>
      </c>
      <c r="M14" s="111">
        <f>L14*(1+$C14)+M5+Modello_Pess!AH13*$B14-Modello_Pess!AI14</f>
        <v>105.96310534880372</v>
      </c>
      <c r="N14" s="111">
        <f>M14*(1+$C14)+N5+Modello_Pess!AH14*$B14-Modello_Pess!AI15</f>
        <v>126.74116758562855</v>
      </c>
      <c r="O14" s="111">
        <f>N14*(1+$C14)+O5+Modello_Pess!AH15*$B14-Modello_Pess!AI16</f>
        <v>148.2328655277949</v>
      </c>
      <c r="P14" s="111">
        <f>O14*(1+$C14)+P5+Modello_Pess!AH16*$B14-Modello_Pess!AI17</f>
        <v>170.44659715760369</v>
      </c>
      <c r="Q14" s="111">
        <f>P14*(1+$C14)+Q5+Modello_Pess!AH17*$B14-Modello_Pess!AI18</f>
        <v>193.39085040959401</v>
      </c>
      <c r="R14" s="111">
        <f>Q14*(1+$C14)+R5+Modello_Pess!AH18*$B14-Modello_Pess!AI19</f>
        <v>217.07420390464273</v>
      </c>
      <c r="S14" s="111">
        <f>R14*(1+$C14)+S5+Modello_Pess!AH19*$B14-Modello_Pess!AI20</f>
        <v>244.58917768975184</v>
      </c>
      <c r="T14" s="111">
        <f>S14*(1+$C14)+T5+Modello_Pess!AH20*$B14-Modello_Pess!AI21</f>
        <v>273.34031957956273</v>
      </c>
      <c r="U14" s="111">
        <f>T14*(1+$C14)+U5+Modello_Pess!AH21*$B14-Modello_Pess!AI22</f>
        <v>303.33297176192809</v>
      </c>
      <c r="V14" s="111">
        <f>U14*(1+$C14)+V5+Modello_Pess!AH22*$B14-Modello_Pess!AI23</f>
        <v>334.57256438468903</v>
      </c>
      <c r="W14" s="111">
        <f>V14*(1+$C14)+W5+Modello_Pess!AH23*$B14-Modello_Pess!AI24</f>
        <v>367.06461580486661</v>
      </c>
      <c r="X14" s="111">
        <f>W14*(1+$C14)+X5+Modello_Pess!AH24*$B14-Modello_Pess!AI25</f>
        <v>413.17487729313524</v>
      </c>
      <c r="Y14" s="111">
        <f>X14*(1+$C14)+Y5+Modello_Pess!AH25*$B14-Modello_Pess!AI26</f>
        <v>460.40299645922528</v>
      </c>
      <c r="Z14" s="111">
        <f>Y14*(1+$C14)+Z5+Modello_Pess!AH26*$B14-Modello_Pess!AI27</f>
        <v>508.7567096255143</v>
      </c>
      <c r="AA14" s="111">
        <f>Z14*(1+$C14)+AA5+Modello_Pess!AH27*$B14-Modello_Pess!AI28</f>
        <v>558.24384996014112</v>
      </c>
      <c r="AB14" s="111">
        <f>AA14*(1+$C14)+AB5+Modello_Pess!AH28*$B14-Modello_Pess!AI29</f>
        <v>608.87234798656618</v>
      </c>
      <c r="AC14" s="111">
        <f>AB14*(1+$C14)+AC5+Modello_Pess!AH29*$B14-Modello_Pess!AI30</f>
        <v>660.65023209803394</v>
      </c>
      <c r="AD14" s="111">
        <f>AC14*(1+$C14)+AD5+Modello_Pess!AH30*$B14-Modello_Pess!AI31</f>
        <v>713.58562907695978</v>
      </c>
      <c r="AE14" s="111">
        <f>AD14*(1+$C14)+AE5+Modello_Pess!AH31*$B14-Modello_Pess!AI32</f>
        <v>767.68676461926941</v>
      </c>
      <c r="AF14" s="111">
        <f>AE14*(1+$C14)+AF5+Modello_Pess!AH32*$B14-Modello_Pess!AI33</f>
        <v>822.96196386371207</v>
      </c>
      <c r="AG14" s="111">
        <f>AF14*(1+$C14)+AG5+Modello_Pess!AH33*$B14-Modello_Pess!AI34</f>
        <v>879.41965192617442</v>
      </c>
      <c r="AH14" s="111">
        <f>AG14*(1+$C14)+AH5+Modello_Pess!AH34*$B14-Modello_Pess!AI35</f>
        <v>936.32548670588039</v>
      </c>
      <c r="AI14" s="111">
        <f>AH14*(1+$C14)+AI5+Modello_Pess!AH35*$B14-Modello_Pess!AI36</f>
        <v>993.68101796971803</v>
      </c>
      <c r="AJ14" s="111">
        <f>AI14*(1+$C14)+AJ5+Modello_Pess!AH36*$B14-Modello_Pess!AI37</f>
        <v>1051.4878059951986</v>
      </c>
      <c r="AK14" s="111">
        <f>AJ14*(1+$C14)+AK5+Modello_Pess!AH37*$B14-Modello_Pess!AI38</f>
        <v>1109.747421501401</v>
      </c>
    </row>
    <row r="15" spans="1:37" ht="15" customHeight="1" x14ac:dyDescent="0.2">
      <c r="A15" t="s">
        <v>439</v>
      </c>
      <c r="B15" s="112">
        <v>1.4999999999999999E-2</v>
      </c>
      <c r="C15" s="112">
        <v>1.2500000000000001E-2</v>
      </c>
      <c r="D15" s="111">
        <f>D5</f>
        <v>6.1677000000000017</v>
      </c>
      <c r="E15" s="111">
        <f>D15*(1+$C15)+E5+Modello_Pess!AH5*$B15-Modello_Pess!AI6</f>
        <v>13.479702192000003</v>
      </c>
      <c r="F15" s="111">
        <f>E15*(1+$C15)+F5+Modello_Pess!AH6*$B15-Modello_Pess!AI7</f>
        <v>21.961459424340006</v>
      </c>
      <c r="G15" s="111">
        <f>F15*(1+$C15)+G5+Modello_Pess!AH7*$B15-Modello_Pess!AI8</f>
        <v>31.638844964547904</v>
      </c>
      <c r="H15" s="111">
        <f>G15*(1+$C15)+H5+Modello_Pess!AH8*$B15-Modello_Pess!AI9</f>
        <v>42.53815849583917</v>
      </c>
      <c r="I15" s="111">
        <f>H15*(1+$C15)+I5+Modello_Pess!AH9*$B15-Modello_Pess!AI10</f>
        <v>54.686132193018679</v>
      </c>
      <c r="J15" s="111">
        <f>I15*(1+$C15)+J5+Modello_Pess!AH10*$B15-Modello_Pess!AI11</f>
        <v>67.405096532085551</v>
      </c>
      <c r="K15" s="111">
        <f>J15*(1+$C15)+K5+Modello_Pess!AH11*$B15-Modello_Pess!AI12</f>
        <v>80.706087512799854</v>
      </c>
      <c r="L15" s="111">
        <f>K15*(1+$C15)+L5+Modello_Pess!AH12*$B15-Modello_Pess!AI13</f>
        <v>94.600313609773409</v>
      </c>
      <c r="M15" s="111">
        <f>L15*(1+$C15)+M5+Modello_Pess!AH13*$B15-Modello_Pess!AI14</f>
        <v>109.09915817157965</v>
      </c>
      <c r="N15" s="111">
        <f>M15*(1+$C15)+N5+Modello_Pess!AH14*$B15-Modello_Pess!AI15</f>
        <v>130.71114435880523</v>
      </c>
      <c r="O15" s="111">
        <f>N15*(1+$C15)+O5+Modello_Pess!AH15*$B15-Modello_Pess!AI16</f>
        <v>153.20302576752849</v>
      </c>
      <c r="P15" s="111">
        <f>O15*(1+$C15)+P5+Modello_Pess!AH16*$B15-Modello_Pess!AI17</f>
        <v>176.59063089179242</v>
      </c>
      <c r="Q15" s="111">
        <f>P15*(1+$C15)+Q5+Modello_Pess!AH17*$B15-Modello_Pess!AI18</f>
        <v>200.89003404414214</v>
      </c>
      <c r="R15" s="111">
        <f>Q15*(1+$C15)+R5+Modello_Pess!AH18*$B15-Modello_Pess!AI19</f>
        <v>226.11755871269469</v>
      </c>
      <c r="S15" s="111">
        <f>R15*(1+$C15)+S5+Modello_Pess!AH19*$B15-Modello_Pess!AI20</f>
        <v>255.37363096218928</v>
      </c>
      <c r="T15" s="111">
        <f>S15*(1+$C15)+T5+Modello_Pess!AH20*$B15-Modello_Pess!AI21</f>
        <v>286.09399735057883</v>
      </c>
      <c r="U15" s="111">
        <f>T15*(1+$C15)+U5+Modello_Pess!AH21*$B15-Modello_Pess!AI22</f>
        <v>318.29612290192864</v>
      </c>
      <c r="V15" s="111">
        <f>U15*(1+$C15)+V5+Modello_Pess!AH22*$B15-Modello_Pess!AI23</f>
        <v>351.99775220215406</v>
      </c>
      <c r="W15" s="111">
        <f>V15*(1+$C15)+W5+Modello_Pess!AH23*$B15-Modello_Pess!AI24</f>
        <v>387.21691270293513</v>
      </c>
      <c r="X15" s="111">
        <f>W15*(1+$C15)+X5+Modello_Pess!AH24*$B15-Modello_Pess!AI25</f>
        <v>436.33206252096613</v>
      </c>
      <c r="Y15" s="111">
        <f>X15*(1+$C15)+Y5+Modello_Pess!AH25*$B15-Modello_Pess!AI26</f>
        <v>486.9484580821026</v>
      </c>
      <c r="Z15" s="111">
        <f>Y15*(1+$C15)+Z5+Modello_Pess!AH26*$B15-Modello_Pess!AI27</f>
        <v>539.08701199212192</v>
      </c>
      <c r="AA15" s="111">
        <f>Z15*(1+$C15)+AA5+Modello_Pess!AH27*$B15-Modello_Pess!AI28</f>
        <v>592.76895642852276</v>
      </c>
      <c r="AB15" s="111">
        <f>AA15*(1+$C15)+AB5+Modello_Pess!AH28*$B15-Modello_Pess!AI29</f>
        <v>648.01584716050365</v>
      </c>
      <c r="AC15" s="111">
        <f>AB15*(1+$C15)+AC5+Modello_Pess!AH29*$B15-Modello_Pess!AI30</f>
        <v>704.84956762154491</v>
      </c>
      <c r="AD15" s="111">
        <f>AC15*(1+$C15)+AD5+Modello_Pess!AH30*$B15-Modello_Pess!AI31</f>
        <v>763.29233303524995</v>
      </c>
      <c r="AE15" s="111">
        <f>AD15*(1+$C15)+AE5+Modello_Pess!AH31*$B15-Modello_Pess!AI32</f>
        <v>823.36669459511552</v>
      </c>
      <c r="AF15" s="111">
        <f>AE15*(1+$C15)+AF5+Modello_Pess!AH32*$B15-Modello_Pess!AI33</f>
        <v>885.09554369890088</v>
      </c>
      <c r="AG15" s="111">
        <f>AF15*(1+$C15)+AG5+Modello_Pess!AH33*$B15-Modello_Pess!AI34</f>
        <v>948.50211623828102</v>
      </c>
      <c r="AH15" s="111">
        <f>AG15*(1+$C15)+AH5+Modello_Pess!AH34*$B15-Modello_Pess!AI35</f>
        <v>1012.8671292113347</v>
      </c>
      <c r="AI15" s="111">
        <f>AH15*(1+$C15)+AI5+Modello_Pess!AH35*$B15-Modello_Pess!AI36</f>
        <v>1078.2018721567845</v>
      </c>
      <c r="AJ15" s="111">
        <f>AI15*(1+$C15)+AJ5+Modello_Pess!AH36*$B15-Modello_Pess!AI37</f>
        <v>1144.5177784943764</v>
      </c>
      <c r="AK15" s="111">
        <f>AJ15*(1+$C15)+AK5+Modello_Pess!AH37*$B15-Modello_Pess!AI38</f>
        <v>1211.8264272017827</v>
      </c>
    </row>
    <row r="16" spans="1:37" ht="15" customHeight="1" x14ac:dyDescent="0.2">
      <c r="A16" t="s">
        <v>440</v>
      </c>
      <c r="B16" s="112">
        <v>1.4999999999999999E-2</v>
      </c>
      <c r="C16" s="112">
        <v>2.5000000000000001E-2</v>
      </c>
      <c r="D16" s="111">
        <f>D5</f>
        <v>6.1677000000000017</v>
      </c>
      <c r="E16" s="111">
        <f>D16*(1+$C16)+E5+Modello_Pess!AH5*$B16-Modello_Pess!AI6</f>
        <v>13.556798442000003</v>
      </c>
      <c r="F16" s="111">
        <f>E16*(1+$C16)+F5+Modello_Pess!AH6*$B16-Modello_Pess!AI7</f>
        <v>22.208979357990003</v>
      </c>
      <c r="G16" s="111">
        <f>F16*(1+$C16)+G5+Modello_Pess!AH7*$B16-Modello_Pess!AI8</f>
        <v>32.167071139343392</v>
      </c>
      <c r="H16" s="111">
        <f>G16*(1+$C16)+H5+Modello_Pess!AH8*$B16-Modello_Pess!AI9</f>
        <v>43.475075887061394</v>
      </c>
      <c r="I16" s="111">
        <f>H16*(1+$C16)+I5+Modello_Pess!AH9*$B16-Modello_Pess!AI10</f>
        <v>56.178199500219442</v>
      </c>
      <c r="J16" s="111">
        <f>I16*(1+$C16)+J5+Modello_Pess!AH10*$B16-Modello_Pess!AI11</f>
        <v>69.61804217437907</v>
      </c>
      <c r="K16" s="111">
        <f>J16*(1+$C16)+K5+Modello_Pess!AH11*$B16-Modello_Pess!AI12</f>
        <v>83.816920502801779</v>
      </c>
      <c r="L16" s="111">
        <f>K16*(1+$C16)+L5+Modello_Pess!AH12*$B16-Modello_Pess!AI13</f>
        <v>98.797743518435382</v>
      </c>
      <c r="M16" s="111">
        <f>L16*(1+$C16)+M5+Modello_Pess!AH13*$B16-Modello_Pess!AI14</f>
        <v>114.58402774808033</v>
      </c>
      <c r="N16" s="111">
        <f>M16*(1+$C16)+N5+Modello_Pess!AH14*$B16-Modello_Pess!AI15</f>
        <v>137.69687515186317</v>
      </c>
      <c r="O16" s="111">
        <f>N16*(1+$C16)+O5+Modello_Pess!AH15*$B16-Modello_Pess!AI16</f>
        <v>161.99728913489795</v>
      </c>
      <c r="P16" s="111">
        <f>O16*(1+$C16)+P5+Modello_Pess!AH16*$B16-Modello_Pess!AI17</f>
        <v>187.51978866544022</v>
      </c>
      <c r="Q16" s="111">
        <f>P16*(1+$C16)+Q5+Modello_Pess!AH17*$B16-Modello_Pess!AI18</f>
        <v>214.29980364827853</v>
      </c>
      <c r="R16" s="111">
        <f>Q16*(1+$C16)+R5+Modello_Pess!AH18*$B16-Modello_Pess!AI19</f>
        <v>242.37369798248625</v>
      </c>
      <c r="S16" s="111">
        <f>R16*(1+$C16)+S5+Modello_Pess!AH19*$B16-Modello_Pess!AI20</f>
        <v>274.86264319763427</v>
      </c>
      <c r="T16" s="111">
        <f>S16*(1+$C16)+T5+Modello_Pess!AH20*$B16-Modello_Pess!AI21</f>
        <v>309.26240527893725</v>
      </c>
      <c r="U16" s="111">
        <f>T16*(1+$C16)+U5+Modello_Pess!AH21*$B16-Modello_Pess!AI22</f>
        <v>345.61991599537828</v>
      </c>
      <c r="V16" s="111">
        <f>U16*(1+$C16)+V5+Modello_Pess!AH22*$B16-Modello_Pess!AI23</f>
        <v>383.98334165921403</v>
      </c>
      <c r="W16" s="111">
        <f>V16*(1+$C16)+W5+Modello_Pess!AH23*$B16-Modello_Pess!AI24</f>
        <v>424.40211379894856</v>
      </c>
      <c r="X16" s="111">
        <f>W16*(1+$C16)+X5+Modello_Pess!AH24*$B16-Modello_Pess!AI25</f>
        <v>479.28710505316656</v>
      </c>
      <c r="Y16" s="111">
        <f>X16*(1+$C16)+Y5+Modello_Pess!AH25*$B16-Modello_Pess!AI26</f>
        <v>536.43152745912005</v>
      </c>
      <c r="Z16" s="111">
        <f>Y16*(1+$C16)+Z5+Modello_Pess!AH26*$B16-Modello_Pess!AI27</f>
        <v>595.8940138295909</v>
      </c>
      <c r="AA16" s="111">
        <f>Z16*(1+$C16)+AA5+Modello_Pess!AH27*$B16-Modello_Pess!AI28</f>
        <v>657.73472096182991</v>
      </c>
      <c r="AB16" s="111">
        <f>AA16*(1+$C16)+AB5+Modello_Pess!AH28*$B16-Modello_Pess!AI29</f>
        <v>722.01536776249998</v>
      </c>
      <c r="AC16" s="111">
        <f>AB16*(1+$C16)+AC5+Modello_Pess!AH29*$B16-Modello_Pess!AI30</f>
        <v>788.79927432809734</v>
      </c>
      <c r="AD16" s="111">
        <f>AC16*(1+$C16)+AD5+Modello_Pess!AH30*$B16-Modello_Pess!AI31</f>
        <v>858.15140200473547</v>
      </c>
      <c r="AE16" s="111">
        <f>AD16*(1+$C16)+AE5+Modello_Pess!AH31*$B16-Modello_Pess!AI32</f>
        <v>930.13839445177871</v>
      </c>
      <c r="AF16" s="111">
        <f>AE16*(1+$C16)+AF5+Modello_Pess!AH32*$B16-Modello_Pess!AI33</f>
        <v>1004.8286197344195</v>
      </c>
      <c r="AG16" s="111">
        <f>AF16*(1+$C16)+AG5+Modello_Pess!AH33*$B16-Modello_Pess!AI34</f>
        <v>1082.2922134709236</v>
      </c>
      <c r="AH16" s="111">
        <f>AG16*(1+$C16)+AH5+Modello_Pess!AH34*$B16-Modello_Pess!AI35</f>
        <v>1161.858255327772</v>
      </c>
      <c r="AI16" s="111">
        <f>AH16*(1+$C16)+AI5+Modello_Pess!AH35*$B16-Modello_Pess!AI36</f>
        <v>1243.5786155412743</v>
      </c>
      <c r="AJ16" s="111">
        <f>AI16*(1+$C16)+AJ5+Modello_Pess!AH36*$B16-Modello_Pess!AI37</f>
        <v>1327.5064638654383</v>
      </c>
      <c r="AK16" s="111">
        <f>AJ16*(1+$C16)+AK5+Modello_Pess!AH37*$B16-Modello_Pess!AI38</f>
        <v>1413.6963019383006</v>
      </c>
    </row>
    <row r="17" spans="1:37" ht="15" customHeight="1" x14ac:dyDescent="0.2">
      <c r="A17" t="s">
        <v>441</v>
      </c>
      <c r="B17" s="112">
        <v>1.4999999999999999E-2</v>
      </c>
      <c r="C17" s="112">
        <v>0.04</v>
      </c>
      <c r="D17" s="111">
        <f>D5</f>
        <v>6.1677000000000017</v>
      </c>
      <c r="E17" s="111">
        <f>D17*(1+$C17)+E5+Modello_Pess!AH5*$B17-Modello_Pess!AI6</f>
        <v>13.649313942000003</v>
      </c>
      <c r="F17" s="111">
        <f>E17*(1+$C17)+F5+Modello_Pess!AH6*$B17-Modello_Pess!AI7</f>
        <v>22.508547454620007</v>
      </c>
      <c r="G17" s="111">
        <f>F17*(1+$C17)+G5+Modello_Pess!AH7*$B17-Modello_Pess!AI8</f>
        <v>32.811756650208451</v>
      </c>
      <c r="H17" s="111">
        <f>G17*(1+$C17)+H5+Modello_Pess!AH8*$B17-Modello_Pess!AI9</f>
        <v>44.628054885451213</v>
      </c>
      <c r="I17" s="111">
        <f>H17*(1+$C17)+I5+Modello_Pess!AH9*$B17-Modello_Pess!AI10</f>
        <v>58.029423796850779</v>
      </c>
      <c r="J17" s="111">
        <f>I17*(1+$C17)+J5+Modello_Pess!AH10*$B17-Modello_Pess!AI11</f>
        <v>72.385988435378948</v>
      </c>
      <c r="K17" s="111">
        <f>J17*(1+$C17)+K5+Modello_Pess!AH11*$B17-Modello_Pess!AI12</f>
        <v>87.739855246857346</v>
      </c>
      <c r="L17" s="111">
        <f>K17*(1+$C17)+L5+Modello_Pess!AH12*$B17-Modello_Pess!AI13</f>
        <v>104.13484945979521</v>
      </c>
      <c r="M17" s="111">
        <f>L17*(1+$C17)+M5+Modello_Pess!AH13*$B17-Modello_Pess!AI14</f>
        <v>121.6165840798711</v>
      </c>
      <c r="N17" s="111">
        <f>M17*(1+$C17)+N5+Modello_Pess!AH14*$B17-Modello_Pess!AI15</f>
        <v>146.72949415314679</v>
      </c>
      <c r="O17" s="111">
        <f>N17*(1+$C17)+O5+Modello_Pess!AH15*$B17-Modello_Pess!AI16</f>
        <v>173.45666602351088</v>
      </c>
      <c r="P17" s="111">
        <f>O17*(1+$C17)+P5+Modello_Pess!AH16*$B17-Modello_Pess!AI17</f>
        <v>201.86749996662115</v>
      </c>
      <c r="Q17" s="111">
        <f>P17*(1+$C17)+Q5+Modello_Pess!AH17*$B17-Modello_Pess!AI18</f>
        <v>232.03422023148832</v>
      </c>
      <c r="R17" s="111">
        <f>Q17*(1+$C17)+R5+Modello_Pess!AH18*$B17-Modello_Pess!AI19</f>
        <v>264.0319882837486</v>
      </c>
      <c r="S17" s="111">
        <f>R17*(1+$C17)+S5+Modello_Pess!AH19*$B17-Modello_Pess!AI20</f>
        <v>301.02287058068441</v>
      </c>
      <c r="T17" s="111">
        <f>S17*(1+$C17)+T5+Modello_Pess!AH20*$B17-Modello_Pess!AI21</f>
        <v>340.591981405274</v>
      </c>
      <c r="U17" s="111">
        <f>T17*(1+$C17)+U5+Modello_Pess!AH21*$B17-Modello_Pess!AI22</f>
        <v>382.84161124595255</v>
      </c>
      <c r="V17" s="111">
        <f>U17*(1+$C17)+V5+Modello_Pess!AH22*$B17-Modello_Pess!AI23</f>
        <v>427.87820345974194</v>
      </c>
      <c r="W17" s="111">
        <f>V17*(1+$C17)+W5+Modello_Pess!AH23*$B17-Modello_Pess!AI24</f>
        <v>475.81252019638583</v>
      </c>
      <c r="X17" s="111">
        <f>W17*(1+$C17)+X5+Modello_Pess!AH24*$B17-Modello_Pess!AI25</f>
        <v>539.1199594134855</v>
      </c>
      <c r="Y17" s="111">
        <f>X17*(1+$C17)+Y5+Modello_Pess!AH25*$B17-Modello_Pess!AI26</f>
        <v>605.84700256964936</v>
      </c>
      <c r="Z17" s="111">
        <f>Y17*(1+$C17)+Z5+Modello_Pess!AH26*$B17-Modello_Pess!AI27</f>
        <v>676.13258085642838</v>
      </c>
      <c r="AA17" s="111">
        <f>Z17*(1+$C17)+AA5+Modello_Pess!AH27*$B17-Modello_Pess!AI28</f>
        <v>750.12124087718485</v>
      </c>
      <c r="AB17" s="111">
        <f>AA17*(1+$C17)+AB5+Modello_Pess!AH28*$B17-Modello_Pess!AI29</f>
        <v>827.96336928889673</v>
      </c>
      <c r="AC17" s="111">
        <f>AB17*(1+$C17)+AC5+Modello_Pess!AH29*$B17-Modello_Pess!AI30</f>
        <v>909.81542643198759</v>
      </c>
      <c r="AD17" s="111">
        <f>AC17*(1+$C17)+AD5+Modello_Pess!AH30*$B17-Modello_Pess!AI31</f>
        <v>995.84018930770287</v>
      </c>
      <c r="AE17" s="111">
        <f>AD17*(1+$C17)+AE5+Modello_Pess!AH31*$B17-Modello_Pess!AI32</f>
        <v>1086.207004276936</v>
      </c>
      <c r="AF17" s="111">
        <f>AE17*(1+$C17)+AF5+Modello_Pess!AH32*$B17-Modello_Pess!AI33</f>
        <v>1181.0920498693595</v>
      </c>
      <c r="AG17" s="111">
        <f>AF17*(1+$C17)+AG5+Modello_Pess!AH33*$B17-Modello_Pess!AI34</f>
        <v>1280.6786101072778</v>
      </c>
      <c r="AH17" s="111">
        <f>AG17*(1+$C17)+AH5+Modello_Pess!AH34*$B17-Modello_Pess!AI35</f>
        <v>1384.4144910316445</v>
      </c>
      <c r="AI17" s="111">
        <f>AH17*(1+$C17)+AI5+Modello_Pess!AH35*$B17-Modello_Pess!AI36</f>
        <v>1492.4649745032184</v>
      </c>
      <c r="AJ17" s="111">
        <f>AI17*(1+$C17)+AJ5+Modello_Pess!AH36*$B17-Modello_Pess!AI37</f>
        <v>1605.0019564189793</v>
      </c>
      <c r="AK17" s="111">
        <f>AJ17*(1+$C17)+AK5+Modello_Pess!AH37*$B17-Modello_Pess!AI38</f>
        <v>1722.2042111519652</v>
      </c>
    </row>
    <row r="18" spans="1:37" ht="15" customHeight="1" x14ac:dyDescent="0.2">
      <c r="A18" t="s">
        <v>442</v>
      </c>
      <c r="B18" s="112">
        <v>2.5000000000000001E-2</v>
      </c>
      <c r="C18" s="112">
        <v>5.0000000000000001E-3</v>
      </c>
      <c r="D18" s="111">
        <f>D5</f>
        <v>6.1677000000000017</v>
      </c>
      <c r="E18" s="111">
        <f>D18*(1+$C18)+E5+Modello_Pess!AH5*$B18-Modello_Pess!AI6</f>
        <v>13.464282942000002</v>
      </c>
      <c r="F18" s="111">
        <f>E18*(1+$C18)+F5+Modello_Pess!AH6*$B18-Modello_Pess!AI7</f>
        <v>21.911647052610004</v>
      </c>
      <c r="G18" s="111">
        <f>F18*(1+$C18)+G5+Modello_Pess!AH7*$B18-Modello_Pess!AI8</f>
        <v>31.5319197679542</v>
      </c>
      <c r="H18" s="111">
        <f>G18*(1+$C18)+H5+Modello_Pess!AH8*$B18-Modello_Pess!AI9</f>
        <v>42.347460001322823</v>
      </c>
      <c r="I18" s="111">
        <f>H18*(1+$C18)+I5+Modello_Pess!AH9*$B18-Modello_Pess!AI10</f>
        <v>54.380860427461847</v>
      </c>
      <c r="J18" s="111">
        <f>I18*(1+$C18)+J5+Modello_Pess!AH10*$B18-Modello_Pess!AI11</f>
        <v>66.950109436907965</v>
      </c>
      <c r="K18" s="111">
        <f>J18*(1+$C18)+K5+Modello_Pess!AH11*$B18-Modello_Pess!AI12</f>
        <v>80.063456539588771</v>
      </c>
      <c r="L18" s="111">
        <f>K18*(1+$C18)+L5+Modello_Pess!AH12*$B18-Modello_Pess!AI13</f>
        <v>93.729233973542875</v>
      </c>
      <c r="M18" s="111">
        <f>L18*(1+$C18)+M5+Modello_Pess!AH13*$B18-Modello_Pess!AI14</f>
        <v>107.95585748219115</v>
      </c>
      <c r="N18" s="111">
        <f>M18*(1+$C18)+N5+Modello_Pess!AH14*$B18-Modello_Pess!AI15</f>
        <v>129.24878960475959</v>
      </c>
      <c r="O18" s="111">
        <f>N18*(1+$C18)+O5+Modello_Pess!AH15*$B18-Modello_Pess!AI16</f>
        <v>151.32290140717316</v>
      </c>
      <c r="P18" s="111">
        <f>O18*(1+$C18)+P5+Modello_Pess!AH16*$B18-Modello_Pess!AI17</f>
        <v>174.18863622812714</v>
      </c>
      <c r="Q18" s="111">
        <f>P18*(1+$C18)+Q5+Modello_Pess!AH17*$B18-Modello_Pess!AI18</f>
        <v>197.85654514650017</v>
      </c>
      <c r="R18" s="111">
        <f>Q18*(1+$C18)+R5+Modello_Pess!AH18*$B18-Modello_Pess!AI19</f>
        <v>222.33728792646238</v>
      </c>
      <c r="S18" s="111">
        <f>R18*(1+$C18)+S5+Modello_Pess!AH19*$B18-Modello_Pess!AI20</f>
        <v>250.72548396966337</v>
      </c>
      <c r="T18" s="111">
        <f>S18*(1+$C18)+T5+Modello_Pess!AH20*$B18-Modello_Pess!AI21</f>
        <v>280.39696037055205</v>
      </c>
      <c r="U18" s="111">
        <f>T18*(1+$C18)+U5+Modello_Pess!AH21*$B18-Modello_Pess!AI22</f>
        <v>311.35393680371004</v>
      </c>
      <c r="V18" s="111">
        <f>U18*(1+$C18)+V5+Modello_Pess!AH22*$B18-Modello_Pess!AI23</f>
        <v>343.59869600627485</v>
      </c>
      <c r="W18" s="111">
        <f>V18*(1+$C18)+W5+Modello_Pess!AH23*$B18-Modello_Pess!AI24</f>
        <v>377.13358364610633</v>
      </c>
      <c r="X18" s="111">
        <f>W18*(1+$C18)+X5+Modello_Pess!AH24*$B18-Modello_Pess!AI25</f>
        <v>424.32115264283823</v>
      </c>
      <c r="Y18" s="111">
        <f>X18*(1+$C18)+Y5+Modello_Pess!AH25*$B18-Modello_Pess!AI26</f>
        <v>472.57542524443011</v>
      </c>
      <c r="Z18" s="111">
        <f>Y18*(1+$C18)+Z5+Modello_Pess!AH26*$B18-Modello_Pess!AI27</f>
        <v>521.90221035262005</v>
      </c>
      <c r="AA18" s="111">
        <f>Z18*(1+$C18)+AA5+Modello_Pess!AH27*$B18-Modello_Pess!AI28</f>
        <v>572.30739712209788</v>
      </c>
      <c r="AB18" s="111">
        <f>AA18*(1+$C18)+AB5+Modello_Pess!AH28*$B18-Modello_Pess!AI29</f>
        <v>623.79695526664432</v>
      </c>
      <c r="AC18" s="111">
        <f>AB18*(1+$C18)+AC5+Modello_Pess!AH29*$B18-Modello_Pess!AI30</f>
        <v>676.37693536884376</v>
      </c>
      <c r="AD18" s="111">
        <f>AC18*(1+$C18)+AD5+Modello_Pess!AH30*$B18-Modello_Pess!AI31</f>
        <v>730.05346919338012</v>
      </c>
      <c r="AE18" s="111">
        <f>AD18*(1+$C18)+AE5+Modello_Pess!AH31*$B18-Modello_Pess!AI32</f>
        <v>784.83277000393161</v>
      </c>
      <c r="AF18" s="111">
        <f>AE18*(1+$C18)+AF5+Modello_Pess!AH32*$B18-Modello_Pess!AI33</f>
        <v>840.72113288367552</v>
      </c>
      <c r="AG18" s="111">
        <f>AF18*(1+$C18)+AG5+Modello_Pess!AH33*$B18-Modello_Pess!AI34</f>
        <v>897.72493505941679</v>
      </c>
      <c r="AH18" s="111">
        <f>AG18*(1+$C18)+AH5+Modello_Pess!AH34*$B18-Modello_Pess!AI35</f>
        <v>955.10776849621425</v>
      </c>
      <c r="AI18" s="111">
        <f>AH18*(1+$C18)+AI5+Modello_Pess!AH35*$B18-Modello_Pess!AI36</f>
        <v>1012.8690987687334</v>
      </c>
      <c r="AJ18" s="111">
        <f>AI18*(1+$C18)+AJ5+Modello_Pess!AH36*$B18-Modello_Pess!AI37</f>
        <v>1071.0083834898196</v>
      </c>
      <c r="AK18" s="111">
        <f>AJ18*(1+$C18)+AK5+Modello_Pess!AH37*$B18-Modello_Pess!AI38</f>
        <v>1129.5250720256306</v>
      </c>
    </row>
    <row r="19" spans="1:37" ht="15" customHeight="1" x14ac:dyDescent="0.2">
      <c r="A19" t="s">
        <v>443</v>
      </c>
      <c r="B19" s="112">
        <v>2.5000000000000001E-2</v>
      </c>
      <c r="C19" s="112">
        <v>1.2500000000000001E-2</v>
      </c>
      <c r="D19" s="111">
        <f>D5</f>
        <v>6.1677000000000017</v>
      </c>
      <c r="E19" s="111">
        <f>D19*(1+$C19)+E5+Modello_Pess!AH5*$B19-Modello_Pess!AI6</f>
        <v>13.510540692000003</v>
      </c>
      <c r="F19" s="111">
        <f>E19*(1+$C19)+F5+Modello_Pess!AH6*$B19-Modello_Pess!AI7</f>
        <v>22.059465146550004</v>
      </c>
      <c r="G19" s="111">
        <f>F19*(1+$C19)+G5+Modello_Pess!AH7*$B19-Modello_Pess!AI8</f>
        <v>31.845922940963025</v>
      </c>
      <c r="H19" s="111">
        <f>G19*(1+$C19)+H5+Modello_Pess!AH8*$B19-Modello_Pess!AI9</f>
        <v>42.901877612253919</v>
      </c>
      <c r="I19" s="111">
        <f>H19*(1+$C19)+I5+Modello_Pess!AH9*$B19-Modello_Pess!AI10</f>
        <v>55.259814208539503</v>
      </c>
      <c r="J19" s="111">
        <f>I19*(1+$C19)+J5+Modello_Pess!AH10*$B19-Modello_Pess!AI11</f>
        <v>68.24790659345507</v>
      </c>
      <c r="K19" s="111">
        <f>J19*(1+$C19)+K5+Modello_Pess!AH11*$B19-Modello_Pess!AI12</f>
        <v>81.879601981369532</v>
      </c>
      <c r="L19" s="111">
        <f>K19*(1+$C19)+L5+Modello_Pess!AH12*$B19-Modello_Pess!AI13</f>
        <v>96.168557157392812</v>
      </c>
      <c r="M19" s="111">
        <f>L19*(1+$C19)+M5+Modello_Pess!AH13*$B19-Modello_Pess!AI14</f>
        <v>111.12864146064078</v>
      </c>
      <c r="N19" s="111">
        <f>M19*(1+$C19)+N5+Modello_Pess!AH14*$B19-Modello_Pess!AI15</f>
        <v>133.27090231405629</v>
      </c>
      <c r="O19" s="111">
        <f>N19*(1+$C19)+O5+Modello_Pess!AH15*$B19-Modello_Pess!AI16</f>
        <v>156.36465644737177</v>
      </c>
      <c r="P19" s="111">
        <f>O19*(1+$C19)+P5+Modello_Pess!AH16*$B19-Modello_Pess!AI17</f>
        <v>180.42833496688203</v>
      </c>
      <c r="Q19" s="111">
        <f>P19*(1+$C19)+Q5+Modello_Pess!AH17*$B19-Modello_Pess!AI18</f>
        <v>205.48065489120049</v>
      </c>
      <c r="R19" s="111">
        <f>Q19*(1+$C19)+R5+Modello_Pess!AH18*$B19-Modello_Pess!AI19</f>
        <v>231.54062313157021</v>
      </c>
      <c r="S19" s="111">
        <f>R19*(1+$C19)+S5+Modello_Pess!AH19*$B19-Modello_Pess!AI20</f>
        <v>261.7113905242835</v>
      </c>
      <c r="T19" s="111">
        <f>S19*(1+$C19)+T5+Modello_Pess!AH20*$B19-Modello_Pess!AI21</f>
        <v>293.40063188687742</v>
      </c>
      <c r="U19" s="111">
        <f>T19*(1+$C19)+U5+Modello_Pess!AH21*$B19-Modello_Pess!AI22</f>
        <v>326.62313141676862</v>
      </c>
      <c r="V19" s="111">
        <f>U19*(1+$C19)+V5+Modello_Pess!AH22*$B19-Modello_Pess!AI23</f>
        <v>361.39391007802453</v>
      </c>
      <c r="W19" s="111">
        <f>V19*(1+$C19)+W5+Modello_Pess!AH23*$B19-Modello_Pess!AI24</f>
        <v>397.72822811379996</v>
      </c>
      <c r="X19" s="111">
        <f>W19*(1+$C19)+X5+Modello_Pess!AH24*$B19-Modello_Pess!AI25</f>
        <v>448.00173204372385</v>
      </c>
      <c r="Y19" s="111">
        <f>X19*(1+$C19)+Y5+Modello_Pess!AH25*$B19-Modello_Pess!AI26</f>
        <v>499.73442053264813</v>
      </c>
      <c r="Z19" s="111">
        <f>Y19*(1+$C19)+Z5+Modello_Pess!AH26*$B19-Modello_Pess!AI27</f>
        <v>552.94500877127405</v>
      </c>
      <c r="AA19" s="111">
        <f>Z19*(1+$C19)+AA5+Modello_Pess!AH27*$B19-Modello_Pess!AI28</f>
        <v>607.65249709862974</v>
      </c>
      <c r="AB19" s="111">
        <f>AA19*(1+$C19)+AB5+Modello_Pess!AH28*$B19-Modello_Pess!AI29</f>
        <v>663.87617447129855</v>
      </c>
      <c r="AC19" s="111">
        <f>AB19*(1+$C19)+AC5+Modello_Pess!AH29*$B19-Modello_Pess!AI30</f>
        <v>721.63562197805607</v>
      </c>
      <c r="AD19" s="111">
        <f>AC19*(1+$C19)+AD5+Modello_Pess!AH30*$B19-Modello_Pess!AI31</f>
        <v>780.95071640047399</v>
      </c>
      <c r="AE19" s="111">
        <f>AD19*(1+$C19)+AE5+Modello_Pess!AH31*$B19-Modello_Pess!AI32</f>
        <v>841.84163382006466</v>
      </c>
      <c r="AF19" s="111">
        <f>AE19*(1+$C19)+AF5+Modello_Pess!AH32*$B19-Modello_Pess!AI33</f>
        <v>904.32885327253973</v>
      </c>
      <c r="AG19" s="111">
        <f>AF19*(1+$C19)+AG5+Modello_Pess!AH33*$B19-Modello_Pess!AI34</f>
        <v>968.43316044976939</v>
      </c>
      <c r="AH19" s="111">
        <f>AG19*(1+$C19)+AH5+Modello_Pess!AH34*$B19-Modello_Pess!AI35</f>
        <v>1033.4327837168919</v>
      </c>
      <c r="AI19" s="111">
        <f>AH19*(1+$C19)+AI5+Modello_Pess!AH35*$B19-Modello_Pess!AI36</f>
        <v>1099.3364849433908</v>
      </c>
      <c r="AJ19" s="111">
        <f>AI19*(1+$C19)+AJ5+Modello_Pess!AH36*$B19-Modello_Pess!AI37</f>
        <v>1166.1531302324256</v>
      </c>
      <c r="AK19" s="111">
        <f>AJ19*(1+$C19)+AK5+Modello_Pess!AH37*$B19-Modello_Pess!AI38</f>
        <v>1233.8916909786928</v>
      </c>
    </row>
    <row r="20" spans="1:37" ht="15" customHeight="1" x14ac:dyDescent="0.2">
      <c r="A20" t="s">
        <v>444</v>
      </c>
      <c r="B20" s="112">
        <v>2.5000000000000001E-2</v>
      </c>
      <c r="C20" s="112">
        <v>2.5000000000000001E-2</v>
      </c>
      <c r="D20" s="111">
        <f>D5</f>
        <v>6.1677000000000017</v>
      </c>
      <c r="E20" s="111">
        <f>D20*(1+$C20)+E5+Modello_Pess!AH5*$B20-Modello_Pess!AI6</f>
        <v>13.587636942000003</v>
      </c>
      <c r="F20" s="111">
        <f>E20*(1+$C20)+F5+Modello_Pess!AH6*$B20-Modello_Pess!AI7</f>
        <v>22.307370561450004</v>
      </c>
      <c r="G20" s="111">
        <f>F20*(1+$C20)+G5+Modello_Pess!AH7*$B20-Modello_Pess!AI8</f>
        <v>32.375769305567403</v>
      </c>
      <c r="H20" s="111">
        <f>G20*(1+$C20)+H5+Modello_Pess!AH8*$B20-Modello_Pess!AI9</f>
        <v>43.843044172735446</v>
      </c>
      <c r="I20" s="111">
        <f>H20*(1+$C20)+I5+Modello_Pess!AH9*$B20-Modello_Pess!AI10</f>
        <v>56.760783403186245</v>
      </c>
      <c r="J20" s="111">
        <f>I20*(1+$C20)+J5+Modello_Pess!AH10*$B20-Modello_Pess!AI11</f>
        <v>70.477147695574715</v>
      </c>
      <c r="K20" s="111">
        <f>J20*(1+$C20)+K5+Modello_Pess!AH11*$B20-Modello_Pess!AI12</f>
        <v>85.017672943460354</v>
      </c>
      <c r="L20" s="111">
        <f>K20*(1+$C20)+L5+Modello_Pess!AH12*$B20-Modello_Pess!AI13</f>
        <v>100.40857491830302</v>
      </c>
      <c r="M20" s="111">
        <f>L20*(1+$C20)+M5+Modello_Pess!AH13*$B20-Modello_Pess!AI14</f>
        <v>116.67676663004114</v>
      </c>
      <c r="N20" s="111">
        <f>M20*(1+$C20)+N5+Modello_Pess!AH14*$B20-Modello_Pess!AI15</f>
        <v>140.34683863094966</v>
      </c>
      <c r="O20" s="111">
        <f>N20*(1+$C20)+O5+Modello_Pess!AH15*$B20-Modello_Pess!AI16</f>
        <v>165.28337745111315</v>
      </c>
      <c r="P20" s="111">
        <f>O20*(1+$C20)+P5+Modello_Pess!AH16*$B20-Modello_Pess!AI17</f>
        <v>191.52458220130907</v>
      </c>
      <c r="Q20" s="111">
        <f>P20*(1+$C20)+Q5+Modello_Pess!AH17*$B20-Modello_Pess!AI18</f>
        <v>219.10966249357421</v>
      </c>
      <c r="R20" s="111">
        <f>Q20*(1+$C20)+R5+Modello_Pess!AH18*$B20-Modello_Pess!AI19</f>
        <v>248.07886411014326</v>
      </c>
      <c r="S20" s="111">
        <f>R20*(1+$C20)+S5+Modello_Pess!AH19*$B20-Modello_Pess!AI20</f>
        <v>281.5573453164655</v>
      </c>
      <c r="T20" s="111">
        <f>S20*(1+$C20)+T5+Modello_Pess!AH20*$B20-Modello_Pess!AI21</f>
        <v>317.01412793041749</v>
      </c>
      <c r="U20" s="111">
        <f>T20*(1+$C20)+U5+Modello_Pess!AH21*$B20-Modello_Pess!AI22</f>
        <v>354.49447275998313</v>
      </c>
      <c r="V20" s="111">
        <f>U20*(1+$C20)+V5+Modello_Pess!AH22*$B20-Modello_Pess!AI23</f>
        <v>394.04482409752904</v>
      </c>
      <c r="W20" s="111">
        <f>V20*(1+$C20)+W5+Modello_Pess!AH23*$B20-Modello_Pess!AI24</f>
        <v>435.71283885976737</v>
      </c>
      <c r="X20" s="111">
        <f>W20*(1+$C20)+X5+Modello_Pess!AH24*$B20-Modello_Pess!AI25</f>
        <v>491.90756090976294</v>
      </c>
      <c r="Y20" s="111">
        <f>X20*(1+$C20)+Y5+Modello_Pess!AH25*$B20-Modello_Pess!AI26</f>
        <v>550.3379167708847</v>
      </c>
      <c r="Z20" s="111">
        <f>Y20*(1+$C20)+Z5+Modello_Pess!AH26*$B20-Modello_Pess!AI27</f>
        <v>611.0602726721246</v>
      </c>
      <c r="AA20" s="111">
        <f>Z20*(1+$C20)+AA5+Modello_Pess!AH27*$B20-Modello_Pess!AI28</f>
        <v>674.13245520664236</v>
      </c>
      <c r="AB20" s="111">
        <f>AA20*(1+$C20)+AB5+Modello_Pess!AH28*$B20-Modello_Pess!AI29</f>
        <v>739.61378774574439</v>
      </c>
      <c r="AC20" s="111">
        <f>AB20*(1+$C20)+AC5+Modello_Pess!AH29*$B20-Modello_Pess!AI30</f>
        <v>807.56512776525426</v>
      </c>
      <c r="AD20" s="111">
        <f>AC20*(1+$C20)+AD5+Modello_Pess!AH30*$B20-Modello_Pess!AI31</f>
        <v>878.04890510707776</v>
      </c>
      <c r="AE20" s="111">
        <f>AD20*(1+$C20)+AE5+Modello_Pess!AH31*$B20-Modello_Pess!AI32</f>
        <v>951.12916119933936</v>
      </c>
      <c r="AF20" s="111">
        <f>AE20*(1+$C20)+AF5+Modello_Pess!AH32*$B20-Modello_Pess!AI33</f>
        <v>1026.8715892590471</v>
      </c>
      <c r="AG20" s="111">
        <f>AF20*(1+$C20)+AG5+Modello_Pess!AH33*$B20-Modello_Pess!AI34</f>
        <v>1105.3435755018461</v>
      </c>
      <c r="AH20" s="111">
        <f>AG20*(1+$C20)+AH5+Modello_Pess!AH34*$B20-Modello_Pess!AI35</f>
        <v>1185.8713736508926</v>
      </c>
      <c r="AI20" s="111">
        <f>AH20*(1+$C20)+AI5+Modello_Pess!AH35*$B20-Modello_Pess!AI36</f>
        <v>1268.5039494222026</v>
      </c>
      <c r="AJ20" s="111">
        <f>AI20*(1+$C20)+AJ5+Modello_Pess!AH36*$B20-Modello_Pess!AI37</f>
        <v>1353.2914873850002</v>
      </c>
      <c r="AK20" s="111">
        <f>AJ20*(1+$C20)+AK5+Modello_Pess!AH37*$B20-Modello_Pess!AI38</f>
        <v>1440.2854211879871</v>
      </c>
    </row>
    <row r="21" spans="1:37" ht="15" customHeight="1" x14ac:dyDescent="0.2">
      <c r="A21" t="s">
        <v>445</v>
      </c>
      <c r="B21" s="112">
        <v>2.5000000000000001E-2</v>
      </c>
      <c r="C21" s="112">
        <v>0.04</v>
      </c>
      <c r="D21" s="111">
        <f>D5</f>
        <v>6.1677000000000017</v>
      </c>
      <c r="E21" s="111">
        <f>D21*(1+$C21)+E5+Modello_Pess!AH5*$B21-Modello_Pess!AI6</f>
        <v>13.680152442000002</v>
      </c>
      <c r="F21" s="111">
        <f>E21*(1+$C21)+F5+Modello_Pess!AH6*$B21-Modello_Pess!AI7</f>
        <v>22.607401235580003</v>
      </c>
      <c r="G21" s="111">
        <f>F21*(1+$C21)+G5+Modello_Pess!AH7*$B21-Modello_Pess!AI8</f>
        <v>33.022411765084357</v>
      </c>
      <c r="H21" s="111">
        <f>G21*(1+$C21)+H5+Modello_Pess!AH8*$B21-Modello_Pess!AI9</f>
        <v>45.001188870216588</v>
      </c>
      <c r="I21" s="111">
        <f>H21*(1+$C21)+I5+Modello_Pess!AH9*$B21-Modello_Pess!AI10</f>
        <v>58.622899551157666</v>
      </c>
      <c r="J21" s="111">
        <f>I21*(1+$C21)+J5+Modello_Pess!AH10*$B21-Modello_Pess!AI11</f>
        <v>73.265160240512799</v>
      </c>
      <c r="K21" s="111">
        <f>J21*(1+$C21)+K5+Modello_Pess!AH11*$B21-Modello_Pess!AI12</f>
        <v>88.974363205629587</v>
      </c>
      <c r="L21" s="111">
        <f>K21*(1+$C21)+L5+Modello_Pess!AH12*$B21-Modello_Pess!AI13</f>
        <v>105.79879788511094</v>
      </c>
      <c r="M21" s="111">
        <f>L21*(1+$C21)+M5+Modello_Pess!AH13*$B21-Modello_Pess!AI14</f>
        <v>123.78872713929594</v>
      </c>
      <c r="N21" s="111">
        <f>M21*(1+$C21)+N5+Modello_Pess!AH14*$B21-Modello_Pess!AI15</f>
        <v>149.49342906002528</v>
      </c>
      <c r="O21" s="111">
        <f>N21*(1+$C21)+O5+Modello_Pess!AH15*$B21-Modello_Pess!AI16</f>
        <v>176.90103407681607</v>
      </c>
      <c r="P21" s="111">
        <f>O21*(1+$C21)+P5+Modello_Pess!AH16*$B21-Modello_Pess!AI17</f>
        <v>206.08619575380683</v>
      </c>
      <c r="Q21" s="111">
        <f>P21*(1+$C21)+Q5+Modello_Pess!AH17*$B21-Modello_Pess!AI18</f>
        <v>237.12660932119155</v>
      </c>
      <c r="R21" s="111">
        <f>Q21*(1+$C21)+R5+Modello_Pess!AH18*$B21-Modello_Pess!AI19</f>
        <v>270.10313374826893</v>
      </c>
      <c r="S21" s="111">
        <f>R21*(1+$C21)+S5+Modello_Pess!AH19*$B21-Modello_Pess!AI20</f>
        <v>308.18376870176837</v>
      </c>
      <c r="T21" s="111">
        <f>S21*(1+$C21)+T5+Modello_Pess!AH20*$B21-Modello_Pess!AI21</f>
        <v>348.92896843087948</v>
      </c>
      <c r="U21" s="111">
        <f>T21*(1+$C21)+U5+Modello_Pess!AH21*$B21-Modello_Pess!AI22</f>
        <v>392.44111879941994</v>
      </c>
      <c r="V21" s="111">
        <f>U21*(1+$C21)+V5+Modello_Pess!AH22*$B21-Modello_Pess!AI23</f>
        <v>438.82675306994315</v>
      </c>
      <c r="W21" s="111">
        <f>V21*(1+$C21)+W5+Modello_Pess!AH23*$B21-Modello_Pess!AI24</f>
        <v>488.19671735254104</v>
      </c>
      <c r="X21" s="111">
        <f>W21*(1+$C21)+X5+Modello_Pess!AH24*$B21-Modello_Pess!AI25</f>
        <v>553.02648712514406</v>
      </c>
      <c r="Y21" s="111">
        <f>X21*(1+$C21)+Y5+Modello_Pess!AH25*$B21-Modello_Pess!AI26</f>
        <v>621.28021344852755</v>
      </c>
      <c r="Z21" s="111">
        <f>Y21*(1+$C21)+Z5+Modello_Pess!AH26*$B21-Modello_Pess!AI27</f>
        <v>693.09532996843666</v>
      </c>
      <c r="AA21" s="111">
        <f>Z21*(1+$C21)+AA5+Modello_Pess!AH27*$B21-Modello_Pess!AI28</f>
        <v>768.6148188848889</v>
      </c>
      <c r="AB21" s="111">
        <f>AA21*(1+$C21)+AB5+Modello_Pess!AH28*$B21-Modello_Pess!AI29</f>
        <v>847.98743279922053</v>
      </c>
      <c r="AC21" s="111">
        <f>AB21*(1+$C21)+AC5+Modello_Pess!AH29*$B21-Modello_Pess!AI30</f>
        <v>931.36792543705565</v>
      </c>
      <c r="AD21" s="111">
        <f>AC21*(1+$C21)+AD5+Modello_Pess!AH30*$B21-Modello_Pess!AI31</f>
        <v>1018.9172916022301</v>
      </c>
      <c r="AE21" s="111">
        <f>AD21*(1+$C21)+AE5+Modello_Pess!AH31*$B21-Modello_Pess!AI32</f>
        <v>1110.8030167309041</v>
      </c>
      <c r="AF21" s="111">
        <f>AE21*(1+$C21)+AF5+Modello_Pess!AH32*$B21-Modello_Pess!AI33</f>
        <v>1207.1993364298644</v>
      </c>
      <c r="AG21" s="111">
        <f>AF21*(1+$C21)+AG5+Modello_Pess!AH33*$B21-Modello_Pess!AI34</f>
        <v>1308.2875063983818</v>
      </c>
      <c r="AH21" s="111">
        <f>AG21*(1+$C21)+AH5+Modello_Pess!AH34*$B21-Modello_Pess!AI35</f>
        <v>1413.5132154158175</v>
      </c>
      <c r="AI21" s="111">
        <f>AH21*(1+$C21)+AI5+Modello_Pess!AH35*$B21-Modello_Pess!AI36</f>
        <v>1523.0395354624882</v>
      </c>
      <c r="AJ21" s="111">
        <f>AI21*(1+$C21)+AJ5+Modello_Pess!AH36*$B21-Modello_Pess!AI37</f>
        <v>1637.0360561082302</v>
      </c>
      <c r="AK21" s="111">
        <f>AJ21*(1+$C21)+AK5+Modello_Pess!AH37*$B21-Modello_Pess!AI38</f>
        <v>1755.6791449709215</v>
      </c>
    </row>
    <row r="22" spans="1:37" ht="15" customHeight="1" x14ac:dyDescent="0.2">
      <c r="A22" t="s">
        <v>446</v>
      </c>
      <c r="B22" s="112">
        <v>3.5000000000000003E-2</v>
      </c>
      <c r="C22" s="112">
        <v>5.0000000000000001E-3</v>
      </c>
      <c r="D22" s="111">
        <f>D5</f>
        <v>6.1677000000000017</v>
      </c>
      <c r="E22" s="111">
        <f>D22*(1+$C22)+E5+Modello_Pess!AH5*$B22-Modello_Pess!AI6</f>
        <v>13.495121442000002</v>
      </c>
      <c r="F22" s="111">
        <f>E22*(1+$C22)+F5+Modello_Pess!AH6*$B22-Modello_Pess!AI7</f>
        <v>22.009421486070003</v>
      </c>
      <c r="G22" s="111">
        <f>F22*(1+$C22)+G5+Modello_Pess!AH7*$B22-Modello_Pess!AI8</f>
        <v>31.738030256258998</v>
      </c>
      <c r="H22" s="111">
        <f>G22*(1+$C22)+H5+Modello_Pess!AH8*$B22-Modello_Pess!AI9</f>
        <v>42.708653707363581</v>
      </c>
      <c r="I22" s="111">
        <f>H22*(1+$C22)+I5+Modello_Pess!AH9*$B22-Modello_Pess!AI10</f>
        <v>54.949276512183708</v>
      </c>
      <c r="J22" s="111">
        <f>I22*(1+$C22)+J5+Modello_Pess!AH10*$B22-Modello_Pess!AI11</f>
        <v>67.783324622708122</v>
      </c>
      <c r="K22" s="111">
        <f>J22*(1+$C22)+K5+Modello_Pess!AH11*$B22-Modello_Pess!AI12</f>
        <v>81.221007082750972</v>
      </c>
      <c r="L22" s="111">
        <f>K22*(1+$C22)+L5+Modello_Pess!AH12*$B22-Modello_Pess!AI13</f>
        <v>95.272632417613494</v>
      </c>
      <c r="M22" s="111">
        <f>L22*(1+$C22)+M5+Modello_Pess!AH13*$B22-Modello_Pess!AI14</f>
        <v>109.94860961557859</v>
      </c>
      <c r="N22" s="111">
        <f>M22*(1+$C22)+N5+Modello_Pess!AH14*$B22-Modello_Pess!AI15</f>
        <v>131.75641162389064</v>
      </c>
      <c r="O22" s="111">
        <f>N22*(1+$C22)+O5+Modello_Pess!AH15*$B22-Modello_Pess!AI16</f>
        <v>154.41293728655143</v>
      </c>
      <c r="P22" s="111">
        <f>O22*(1+$C22)+P5+Modello_Pess!AH16*$B22-Modello_Pess!AI17</f>
        <v>177.93067529865056</v>
      </c>
      <c r="Q22" s="111">
        <f>P22*(1+$C22)+Q5+Modello_Pess!AH17*$B22-Modello_Pess!AI18</f>
        <v>202.32223988340633</v>
      </c>
      <c r="R22" s="111">
        <f>Q22*(1+$C22)+R5+Modello_Pess!AH18*$B22-Modello_Pess!AI19</f>
        <v>227.600371948282</v>
      </c>
      <c r="S22" s="111">
        <f>R22*(1+$C22)+S5+Modello_Pess!AH19*$B22-Modello_Pess!AI20</f>
        <v>256.86179024957488</v>
      </c>
      <c r="T22" s="111">
        <f>S22*(1+$C22)+T5+Modello_Pess!AH20*$B22-Modello_Pess!AI21</f>
        <v>287.45360116154126</v>
      </c>
      <c r="U22" s="111">
        <f>T22*(1+$C22)+U5+Modello_Pess!AH21*$B22-Modello_Pess!AI22</f>
        <v>319.37490184549182</v>
      </c>
      <c r="V22" s="111">
        <f>U22*(1+$C22)+V5+Modello_Pess!AH22*$B22-Modello_Pess!AI23</f>
        <v>352.62482762786055</v>
      </c>
      <c r="W22" s="111">
        <f>V22*(1+$C22)+W5+Modello_Pess!AH23*$B22-Modello_Pess!AI24</f>
        <v>387.202551487346</v>
      </c>
      <c r="X22" s="111">
        <f>W22*(1+$C22)+X5+Modello_Pess!AH24*$B22-Modello_Pess!AI25</f>
        <v>435.46742799254127</v>
      </c>
      <c r="Y22" s="111">
        <f>X22*(1+$C22)+Y5+Modello_Pess!AH25*$B22-Modello_Pess!AI26</f>
        <v>484.74785402963505</v>
      </c>
      <c r="Z22" s="111">
        <f>Y22*(1+$C22)+Z5+Modello_Pess!AH26*$B22-Modello_Pess!AI27</f>
        <v>535.04771107972613</v>
      </c>
      <c r="AA22" s="111">
        <f>Z22*(1+$C22)+AA5+Modello_Pess!AH27*$B22-Modello_Pess!AI28</f>
        <v>586.37094428405487</v>
      </c>
      <c r="AB22" s="111">
        <f>AA22*(1+$C22)+AB5+Modello_Pess!AH28*$B22-Modello_Pess!AI29</f>
        <v>638.72156254672268</v>
      </c>
      <c r="AC22" s="111">
        <f>AB22*(1+$C22)+AC5+Modello_Pess!AH29*$B22-Modello_Pess!AI30</f>
        <v>692.10363863965381</v>
      </c>
      <c r="AD22" s="111">
        <f>AC22*(1+$C22)+AD5+Modello_Pess!AH30*$B22-Modello_Pess!AI31</f>
        <v>746.5213093098007</v>
      </c>
      <c r="AE22" s="111">
        <f>AD22*(1+$C22)+AE5+Modello_Pess!AH31*$B22-Modello_Pess!AI32</f>
        <v>801.97877538859404</v>
      </c>
      <c r="AF22" s="111">
        <f>AE22*(1+$C22)+AF5+Modello_Pess!AH32*$B22-Modello_Pess!AI33</f>
        <v>858.48030190363932</v>
      </c>
      <c r="AG22" s="111">
        <f>AF22*(1+$C22)+AG5+Modello_Pess!AH33*$B22-Modello_Pess!AI34</f>
        <v>916.03021819265939</v>
      </c>
      <c r="AH22" s="111">
        <f>AG22*(1+$C22)+AH5+Modello_Pess!AH34*$B22-Modello_Pess!AI35</f>
        <v>973.89005028654833</v>
      </c>
      <c r="AI22" s="111">
        <f>AH22*(1+$C22)+AI5+Modello_Pess!AH35*$B22-Modello_Pess!AI36</f>
        <v>1032.0571795677488</v>
      </c>
      <c r="AJ22" s="111">
        <f>AI22*(1+$C22)+AJ5+Modello_Pess!AH36*$B22-Modello_Pess!AI37</f>
        <v>1090.5289609844403</v>
      </c>
      <c r="AK22" s="111">
        <f>AJ22*(1+$C22)+AK5+Modello_Pess!AH37*$B22-Modello_Pess!AI38</f>
        <v>1149.3027225498599</v>
      </c>
    </row>
    <row r="23" spans="1:37" ht="15" customHeight="1" x14ac:dyDescent="0.2">
      <c r="A23" t="s">
        <v>447</v>
      </c>
      <c r="B23" s="112">
        <v>3.5000000000000003E-2</v>
      </c>
      <c r="C23" s="112">
        <v>1.2500000000000001E-2</v>
      </c>
      <c r="D23" s="111">
        <f>D5</f>
        <v>6.1677000000000017</v>
      </c>
      <c r="E23" s="111">
        <f>D23*(1+$C23)+E5+Modello_Pess!AH5*$B23-Modello_Pess!AI6</f>
        <v>13.541379192000003</v>
      </c>
      <c r="F23" s="111">
        <f>E23*(1+$C23)+F5+Modello_Pess!AH6*$B23-Modello_Pess!AI7</f>
        <v>22.157470868760004</v>
      </c>
      <c r="G23" s="111">
        <f>F23*(1+$C23)+G5+Modello_Pess!AH7*$B23-Modello_Pess!AI8</f>
        <v>32.053000917378149</v>
      </c>
      <c r="H23" s="111">
        <f>G23*(1+$C23)+H5+Modello_Pess!AH8*$B23-Modello_Pess!AI9</f>
        <v>43.265596728668669</v>
      </c>
      <c r="I23" s="111">
        <f>H23*(1+$C23)+I5+Modello_Pess!AH9*$B23-Modello_Pess!AI10</f>
        <v>55.83349622406034</v>
      </c>
      <c r="J23" s="111">
        <f>I23*(1+$C23)+J5+Modello_Pess!AH10*$B23-Modello_Pess!AI11</f>
        <v>69.09071665482459</v>
      </c>
      <c r="K23" s="111">
        <f>J23*(1+$C23)+K5+Modello_Pess!AH11*$B23-Modello_Pess!AI12</f>
        <v>83.05311644993921</v>
      </c>
      <c r="L23" s="111">
        <f>K23*(1+$C23)+L5+Modello_Pess!AH12*$B23-Modello_Pess!AI13</f>
        <v>97.736800705012229</v>
      </c>
      <c r="M23" s="111">
        <f>L23*(1+$C23)+M5+Modello_Pess!AH13*$B23-Modello_Pess!AI14</f>
        <v>113.15812474970191</v>
      </c>
      <c r="N23" s="111">
        <f>M23*(1+$C23)+N5+Modello_Pess!AH14*$B23-Modello_Pess!AI15</f>
        <v>135.83066026930734</v>
      </c>
      <c r="O23" s="111">
        <f>N23*(1+$C23)+O5+Modello_Pess!AH15*$B23-Modello_Pess!AI16</f>
        <v>159.52628712721503</v>
      </c>
      <c r="P23" s="111">
        <f>O23*(1+$C23)+P5+Modello_Pess!AH16*$B23-Modello_Pess!AI17</f>
        <v>184.2660390419716</v>
      </c>
      <c r="Q23" s="111">
        <f>P23*(1+$C23)+Q5+Modello_Pess!AH17*$B23-Modello_Pess!AI18</f>
        <v>210.07127573825875</v>
      </c>
      <c r="R23" s="111">
        <f>Q23*(1+$C23)+R5+Modello_Pess!AH18*$B23-Modello_Pess!AI19</f>
        <v>236.96368755044563</v>
      </c>
      <c r="S23" s="111">
        <f>R23*(1+$C23)+S5+Modello_Pess!AH19*$B23-Modello_Pess!AI20</f>
        <v>268.04915008637772</v>
      </c>
      <c r="T23" s="111">
        <f>S23*(1+$C23)+T5+Modello_Pess!AH20*$B23-Modello_Pess!AI21</f>
        <v>300.70726642317595</v>
      </c>
      <c r="U23" s="111">
        <f>T23*(1+$C23)+U5+Modello_Pess!AH21*$B23-Modello_Pess!AI22</f>
        <v>334.95013993160853</v>
      </c>
      <c r="V23" s="111">
        <f>U23*(1+$C23)+V5+Modello_Pess!AH22*$B23-Modello_Pess!AI23</f>
        <v>370.790067953895</v>
      </c>
      <c r="W23" s="111">
        <f>V23*(1+$C23)+W5+Modello_Pess!AH23*$B23-Modello_Pess!AI24</f>
        <v>408.23954352466484</v>
      </c>
      <c r="X23" s="111">
        <f>W23*(1+$C23)+X5+Modello_Pess!AH24*$B23-Modello_Pess!AI25</f>
        <v>459.67140156648173</v>
      </c>
      <c r="Y23" s="111">
        <f>X23*(1+$C23)+Y5+Modello_Pess!AH25*$B23-Modello_Pess!AI26</f>
        <v>512.52038298319383</v>
      </c>
      <c r="Z23" s="111">
        <f>Y23*(1+$C23)+Z5+Modello_Pess!AH26*$B23-Modello_Pess!AI27</f>
        <v>566.80300555042675</v>
      </c>
      <c r="AA23" s="111">
        <f>Z23*(1+$C23)+AA5+Modello_Pess!AH27*$B23-Modello_Pess!AI28</f>
        <v>622.53603776873729</v>
      </c>
      <c r="AB23" s="111">
        <f>AA23*(1+$C23)+AB5+Modello_Pess!AH28*$B23-Modello_Pess!AI29</f>
        <v>679.73650178209402</v>
      </c>
      <c r="AC23" s="111">
        <f>AB23*(1+$C23)+AC5+Modello_Pess!AH29*$B23-Modello_Pess!AI30</f>
        <v>738.42167633456779</v>
      </c>
      <c r="AD23" s="111">
        <f>AC23*(1+$C23)+AD5+Modello_Pess!AH30*$B23-Modello_Pess!AI31</f>
        <v>798.6090997656986</v>
      </c>
      <c r="AE23" s="111">
        <f>AD23*(1+$C23)+AE5+Modello_Pess!AH31*$B23-Modello_Pess!AI32</f>
        <v>860.31657304501425</v>
      </c>
      <c r="AF23" s="111">
        <f>AE23*(1+$C23)+AF5+Modello_Pess!AH32*$B23-Modello_Pess!AI33</f>
        <v>923.56216284617926</v>
      </c>
      <c r="AG23" s="111">
        <f>AF23*(1+$C23)+AG5+Modello_Pess!AH33*$B23-Modello_Pess!AI34</f>
        <v>988.36420466125844</v>
      </c>
      <c r="AH23" s="111">
        <f>AG23*(1+$C23)+AH5+Modello_Pess!AH34*$B23-Modello_Pess!AI35</f>
        <v>1053.99843822245</v>
      </c>
      <c r="AI23" s="111">
        <f>AH23*(1+$C23)+AI5+Modello_Pess!AH35*$B23-Modello_Pess!AI36</f>
        <v>1120.4710977299983</v>
      </c>
      <c r="AJ23" s="111">
        <f>AI23*(1+$C23)+AJ5+Modello_Pess!AH36*$B23-Modello_Pess!AI37</f>
        <v>1187.7884819704761</v>
      </c>
      <c r="AK23" s="111">
        <f>AJ23*(1+$C23)+AK5+Modello_Pess!AH37*$B23-Modello_Pess!AI38</f>
        <v>1255.9569547556046</v>
      </c>
    </row>
    <row r="24" spans="1:37" ht="15" customHeight="1" x14ac:dyDescent="0.2">
      <c r="A24" t="s">
        <v>448</v>
      </c>
      <c r="B24" s="112">
        <v>3.5000000000000003E-2</v>
      </c>
      <c r="C24" s="112">
        <v>2.5000000000000001E-2</v>
      </c>
      <c r="D24" s="111">
        <f>D5</f>
        <v>6.1677000000000017</v>
      </c>
      <c r="E24" s="111">
        <f>D24*(1+$C24)+E5+Modello_Pess!AH5*$B24-Modello_Pess!AI6</f>
        <v>13.618475442000003</v>
      </c>
      <c r="F24" s="111">
        <f>E24*(1+$C24)+F5+Modello_Pess!AH6*$B24-Modello_Pess!AI7</f>
        <v>22.405761764910004</v>
      </c>
      <c r="G24" s="111">
        <f>F24*(1+$C24)+G5+Modello_Pess!AH7*$B24-Modello_Pess!AI8</f>
        <v>32.584467471791399</v>
      </c>
      <c r="H24" s="111">
        <f>G24*(1+$C24)+H5+Modello_Pess!AH8*$B24-Modello_Pess!AI9</f>
        <v>44.211012458409478</v>
      </c>
      <c r="I24" s="111">
        <f>H24*(1+$C24)+I5+Modello_Pess!AH9*$B24-Modello_Pess!AI10</f>
        <v>57.343367306153027</v>
      </c>
      <c r="J24" s="111">
        <f>I24*(1+$C24)+J5+Modello_Pess!AH10*$B24-Modello_Pess!AI11</f>
        <v>71.336253216770345</v>
      </c>
      <c r="K24" s="111">
        <f>J24*(1+$C24)+K5+Modello_Pess!AH11*$B24-Modello_Pess!AI12</f>
        <v>86.218425384118916</v>
      </c>
      <c r="L24" s="111">
        <f>K24*(1+$C24)+L5+Modello_Pess!AH12*$B24-Modello_Pess!AI13</f>
        <v>102.01940631817065</v>
      </c>
      <c r="M24" s="111">
        <f>L24*(1+$C24)+M5+Modello_Pess!AH13*$B24-Modello_Pess!AI14</f>
        <v>118.76950551200194</v>
      </c>
      <c r="N24" s="111">
        <f>M24*(1+$C24)+N5+Modello_Pess!AH14*$B24-Modello_Pess!AI15</f>
        <v>142.99680211003616</v>
      </c>
      <c r="O24" s="111">
        <f>N24*(1+$C24)+O5+Modello_Pess!AH15*$B24-Modello_Pess!AI16</f>
        <v>168.56946576732838</v>
      </c>
      <c r="P24" s="111">
        <f>O24*(1+$C24)+P5+Modello_Pess!AH16*$B24-Modello_Pess!AI17</f>
        <v>195.52937573717796</v>
      </c>
      <c r="Q24" s="111">
        <f>P24*(1+$C24)+Q5+Modello_Pess!AH17*$B24-Modello_Pess!AI18</f>
        <v>223.91952133886991</v>
      </c>
      <c r="R24" s="111">
        <f>Q24*(1+$C24)+R5+Modello_Pess!AH18*$B24-Modello_Pess!AI19</f>
        <v>253.78403023780029</v>
      </c>
      <c r="S24" s="111">
        <f>R24*(1+$C24)+S5+Modello_Pess!AH19*$B24-Modello_Pess!AI20</f>
        <v>288.25204743529679</v>
      </c>
      <c r="T24" s="111">
        <f>S24*(1+$C24)+T5+Modello_Pess!AH20*$B24-Modello_Pess!AI21</f>
        <v>324.76585058189772</v>
      </c>
      <c r="U24" s="111">
        <f>T24*(1+$C24)+U5+Modello_Pess!AH21*$B24-Modello_Pess!AI22</f>
        <v>363.36902952458803</v>
      </c>
      <c r="V24" s="111">
        <f>U24*(1+$C24)+V5+Modello_Pess!AH22*$B24-Modello_Pess!AI23</f>
        <v>404.10630653584406</v>
      </c>
      <c r="W24" s="111">
        <f>V24*(1+$C24)+W5+Modello_Pess!AH23*$B24-Modello_Pess!AI24</f>
        <v>447.0235639205863</v>
      </c>
      <c r="X24" s="111">
        <f>W24*(1+$C24)+X5+Modello_Pess!AH24*$B24-Modello_Pess!AI25</f>
        <v>504.52801676635949</v>
      </c>
      <c r="Y24" s="111">
        <f>X24*(1+$C24)+Y5+Modello_Pess!AH25*$B24-Modello_Pess!AI26</f>
        <v>564.24430608264947</v>
      </c>
      <c r="Z24" s="111">
        <f>Y24*(1+$C24)+Z5+Modello_Pess!AH26*$B24-Modello_Pess!AI27</f>
        <v>626.22653151465863</v>
      </c>
      <c r="AA24" s="111">
        <f>Z24*(1+$C24)+AA5+Modello_Pess!AH27*$B24-Modello_Pess!AI28</f>
        <v>690.53018945145527</v>
      </c>
      <c r="AB24" s="111">
        <f>AA24*(1+$C24)+AB5+Modello_Pess!AH28*$B24-Modello_Pess!AI29</f>
        <v>757.21220772898914</v>
      </c>
      <c r="AC24" s="111">
        <f>AB24*(1+$C24)+AC5+Modello_Pess!AH29*$B24-Modello_Pess!AI30</f>
        <v>826.33098120241141</v>
      </c>
      <c r="AD24" s="111">
        <f>AC24*(1+$C24)+AD5+Modello_Pess!AH30*$B24-Modello_Pess!AI31</f>
        <v>897.94640820942038</v>
      </c>
      <c r="AE24" s="111">
        <f>AD24*(1+$C24)+AE5+Modello_Pess!AH31*$B24-Modello_Pess!AI32</f>
        <v>972.11992794690025</v>
      </c>
      <c r="AF24" s="111">
        <f>AE24*(1+$C24)+AF5+Modello_Pess!AH32*$B24-Modello_Pess!AI33</f>
        <v>1048.9145587836749</v>
      </c>
      <c r="AG24" s="111">
        <f>AF24*(1+$C24)+AG5+Modello_Pess!AH33*$B24-Modello_Pess!AI34</f>
        <v>1128.3949375327686</v>
      </c>
      <c r="AH24" s="111">
        <f>AG24*(1+$C24)+AH5+Modello_Pess!AH34*$B24-Modello_Pess!AI35</f>
        <v>1209.8844919740136</v>
      </c>
      <c r="AI24" s="111">
        <f>AH24*(1+$C24)+AI5+Modello_Pess!AH35*$B24-Modello_Pess!AI36</f>
        <v>1293.4292833031316</v>
      </c>
      <c r="AJ24" s="111">
        <f>AI24*(1+$C24)+AJ5+Modello_Pess!AH36*$B24-Modello_Pess!AI37</f>
        <v>1379.0765109045628</v>
      </c>
      <c r="AK24" s="111">
        <f>AJ24*(1+$C24)+AK5+Modello_Pess!AH37*$B24-Modello_Pess!AI38</f>
        <v>1466.8745404376743</v>
      </c>
    </row>
    <row r="25" spans="1:37" ht="15" customHeight="1" x14ac:dyDescent="0.2">
      <c r="A25" t="s">
        <v>449</v>
      </c>
      <c r="B25" s="112">
        <v>3.5000000000000003E-2</v>
      </c>
      <c r="C25" s="112">
        <v>0.04</v>
      </c>
      <c r="D25" s="111">
        <f>D5</f>
        <v>6.1677000000000017</v>
      </c>
      <c r="E25" s="111">
        <f>D25*(1+$C25)+E5+Modello_Pess!AH5*$B25-Modello_Pess!AI6</f>
        <v>13.710990942000002</v>
      </c>
      <c r="F25" s="111">
        <f>E25*(1+$C25)+F5+Modello_Pess!AH6*$B25-Modello_Pess!AI7</f>
        <v>22.706255016540005</v>
      </c>
      <c r="G25" s="111">
        <f>F25*(1+$C25)+G5+Modello_Pess!AH7*$B25-Modello_Pess!AI8</f>
        <v>33.233066879960262</v>
      </c>
      <c r="H25" s="111">
        <f>G25*(1+$C25)+H5+Modello_Pess!AH8*$B25-Modello_Pess!AI9</f>
        <v>45.374322854981969</v>
      </c>
      <c r="I25" s="111">
        <f>H25*(1+$C25)+I5+Modello_Pess!AH9*$B25-Modello_Pess!AI10</f>
        <v>59.216375305464567</v>
      </c>
      <c r="J25" s="111">
        <f>I25*(1+$C25)+J5+Modello_Pess!AH10*$B25-Modello_Pess!AI11</f>
        <v>74.144332045646649</v>
      </c>
      <c r="K25" s="111">
        <f>J25*(1+$C25)+K5+Modello_Pess!AH11*$B25-Modello_Pess!AI12</f>
        <v>90.208871164401842</v>
      </c>
      <c r="L25" s="111">
        <f>K25*(1+$C25)+L5+Modello_Pess!AH12*$B25-Modello_Pess!AI13</f>
        <v>107.4627463104267</v>
      </c>
      <c r="M25" s="111">
        <f>L25*(1+$C25)+M5+Modello_Pess!AH13*$B25-Modello_Pess!AI14</f>
        <v>125.9608701987208</v>
      </c>
      <c r="N25" s="111">
        <f>M25*(1+$C25)+N5+Modello_Pess!AH14*$B25-Modello_Pess!AI15</f>
        <v>152.2573639669038</v>
      </c>
      <c r="O25" s="111">
        <f>N25*(1+$C25)+O5+Modello_Pess!AH15*$B25-Modello_Pess!AI16</f>
        <v>180.3454021301213</v>
      </c>
      <c r="P25" s="111">
        <f>O25*(1+$C25)+P5+Modello_Pess!AH16*$B25-Modello_Pess!AI17</f>
        <v>210.30489154099254</v>
      </c>
      <c r="Q25" s="111">
        <f>P25*(1+$C25)+Q5+Modello_Pess!AH17*$B25-Modello_Pess!AI18</f>
        <v>242.21899841089478</v>
      </c>
      <c r="R25" s="111">
        <f>Q25*(1+$C25)+R5+Modello_Pess!AH18*$B25-Modello_Pess!AI19</f>
        <v>276.17427921278926</v>
      </c>
      <c r="S25" s="111">
        <f>R25*(1+$C25)+S5+Modello_Pess!AH19*$B25-Modello_Pess!AI20</f>
        <v>315.34466682285233</v>
      </c>
      <c r="T25" s="111">
        <f>S25*(1+$C25)+T5+Modello_Pess!AH20*$B25-Modello_Pess!AI21</f>
        <v>357.26595545648496</v>
      </c>
      <c r="U25" s="111">
        <f>T25*(1+$C25)+U5+Modello_Pess!AH21*$B25-Modello_Pess!AI22</f>
        <v>402.04062635288727</v>
      </c>
      <c r="V25" s="111">
        <f>U25*(1+$C25)+V5+Modello_Pess!AH22*$B25-Modello_Pess!AI23</f>
        <v>449.77530268014414</v>
      </c>
      <c r="W25" s="111">
        <f>V25*(1+$C25)+W5+Modello_Pess!AH23*$B25-Modello_Pess!AI24</f>
        <v>500.58091450869608</v>
      </c>
      <c r="X25" s="111">
        <f>W25*(1+$C25)+X5+Modello_Pess!AH24*$B25-Modello_Pess!AI25</f>
        <v>566.9330148368025</v>
      </c>
      <c r="Y25" s="111">
        <f>X25*(1+$C25)+Y5+Modello_Pess!AH25*$B25-Modello_Pess!AI26</f>
        <v>636.71342432740573</v>
      </c>
      <c r="Z25" s="111">
        <f>Y25*(1+$C25)+Z5+Modello_Pess!AH26*$B25-Modello_Pess!AI27</f>
        <v>710.05807908044483</v>
      </c>
      <c r="AA25" s="111">
        <f>Z25*(1+$C25)+AA5+Modello_Pess!AH27*$B25-Modello_Pess!AI28</f>
        <v>787.10839689259285</v>
      </c>
      <c r="AB25" s="111">
        <f>AA25*(1+$C25)+AB5+Modello_Pess!AH28*$B25-Modello_Pess!AI29</f>
        <v>868.01149630954421</v>
      </c>
      <c r="AC25" s="111">
        <f>AB25*(1+$C25)+AC5+Modello_Pess!AH29*$B25-Modello_Pess!AI30</f>
        <v>952.9204244421237</v>
      </c>
      <c r="AD25" s="111">
        <f>AC25*(1+$C25)+AD5+Modello_Pess!AH30*$B25-Modello_Pess!AI31</f>
        <v>1041.9943938967574</v>
      </c>
      <c r="AE25" s="111">
        <f>AD25*(1+$C25)+AE5+Modello_Pess!AH31*$B25-Modello_Pess!AI32</f>
        <v>1135.3990291848725</v>
      </c>
      <c r="AF25" s="111">
        <f>AE25*(1+$C25)+AF5+Modello_Pess!AH32*$B25-Modello_Pess!AI33</f>
        <v>1233.3066229903695</v>
      </c>
      <c r="AG25" s="111">
        <f>AF25*(1+$C25)+AG5+Modello_Pess!AH33*$B25-Modello_Pess!AI34</f>
        <v>1335.8964026894862</v>
      </c>
      <c r="AH25" s="111">
        <f>AG25*(1+$C25)+AH5+Modello_Pess!AH34*$B25-Modello_Pess!AI35</f>
        <v>1442.6119397999914</v>
      </c>
      <c r="AI25" s="111">
        <f>AH25*(1+$C25)+AI5+Modello_Pess!AH35*$B25-Modello_Pess!AI36</f>
        <v>1553.6140964217589</v>
      </c>
      <c r="AJ25" s="111">
        <f>AI25*(1+$C25)+AJ5+Modello_Pess!AH36*$B25-Modello_Pess!AI37</f>
        <v>1669.0701557974824</v>
      </c>
      <c r="AK25" s="111">
        <f>AJ25*(1+$C25)+AK5+Modello_Pess!AH37*$B25-Modello_Pess!AI38</f>
        <v>1789.1540787898791</v>
      </c>
    </row>
    <row r="27" spans="1:37" ht="15" customHeight="1" x14ac:dyDescent="0.2">
      <c r="A27" s="110" t="s">
        <v>450</v>
      </c>
    </row>
    <row r="28" spans="1:37" ht="15" customHeight="1" x14ac:dyDescent="0.2">
      <c r="D28">
        <v>2027</v>
      </c>
      <c r="E28">
        <v>2028</v>
      </c>
      <c r="F28">
        <v>2029</v>
      </c>
      <c r="G28">
        <v>2030</v>
      </c>
      <c r="H28">
        <v>2031</v>
      </c>
      <c r="I28">
        <v>2032</v>
      </c>
      <c r="J28">
        <v>2033</v>
      </c>
      <c r="K28">
        <v>2034</v>
      </c>
      <c r="L28">
        <v>2035</v>
      </c>
      <c r="M28">
        <v>2036</v>
      </c>
      <c r="N28">
        <v>2037</v>
      </c>
      <c r="O28">
        <v>2038</v>
      </c>
      <c r="P28">
        <v>2039</v>
      </c>
      <c r="Q28">
        <v>2040</v>
      </c>
      <c r="R28">
        <v>2041</v>
      </c>
      <c r="S28">
        <v>2042</v>
      </c>
      <c r="T28">
        <v>2043</v>
      </c>
      <c r="U28">
        <v>2044</v>
      </c>
      <c r="V28">
        <v>2045</v>
      </c>
      <c r="W28">
        <v>2046</v>
      </c>
      <c r="X28">
        <v>2047</v>
      </c>
      <c r="Y28">
        <v>2048</v>
      </c>
      <c r="Z28">
        <v>2049</v>
      </c>
      <c r="AA28">
        <v>2050</v>
      </c>
      <c r="AB28">
        <v>2051</v>
      </c>
      <c r="AC28">
        <v>2052</v>
      </c>
      <c r="AD28">
        <v>2053</v>
      </c>
      <c r="AE28">
        <v>2054</v>
      </c>
      <c r="AF28">
        <v>2055</v>
      </c>
      <c r="AG28">
        <v>2056</v>
      </c>
      <c r="AH28">
        <v>2057</v>
      </c>
      <c r="AI28">
        <v>2058</v>
      </c>
      <c r="AJ28">
        <v>2059</v>
      </c>
      <c r="AK28">
        <v>2060</v>
      </c>
    </row>
    <row r="29" spans="1:37" ht="15" customHeight="1" x14ac:dyDescent="0.2">
      <c r="A29" t="s">
        <v>493</v>
      </c>
      <c r="B29" t="s">
        <v>453</v>
      </c>
      <c r="C29" t="s">
        <v>453</v>
      </c>
      <c r="D29" s="111">
        <f>Modello_Pess!AH5</f>
        <v>3.0838500000000004</v>
      </c>
      <c r="E29" s="111">
        <f>Modello_Pess!AH6</f>
        <v>6.6781740960000011</v>
      </c>
      <c r="F29" s="111">
        <f>Modello_Pess!AH7</f>
        <v>10.784718267750002</v>
      </c>
      <c r="G29" s="111">
        <f>Modello_Pess!AH8</f>
        <v>15.405266529443701</v>
      </c>
      <c r="H29" s="111">
        <f>Modello_Pess!AH9</f>
        <v>20.541641015090082</v>
      </c>
      <c r="I29" s="111">
        <f>Modello_Pess!AH10</f>
        <v>26.195702065467664</v>
      </c>
      <c r="J29" s="111">
        <f>Modello_Pess!AH11</f>
        <v>32.01692814330373</v>
      </c>
      <c r="K29" s="111">
        <f>Modello_Pess!AH12</f>
        <v>38.006014819260571</v>
      </c>
      <c r="L29" s="111">
        <f>Modello_Pess!AH13</f>
        <v>44.163669709647898</v>
      </c>
      <c r="M29" s="111">
        <f>Modello_Pess!AH14</f>
        <v>50.490612507667578</v>
      </c>
      <c r="N29" s="111">
        <f>Modello_Pess!AH15</f>
        <v>56.987575015156182</v>
      </c>
      <c r="O29" s="111">
        <f>Modello_Pess!AH16</f>
        <v>63.655301174826477</v>
      </c>
      <c r="P29" s="111">
        <f>Modello_Pess!AH17</f>
        <v>70.494547103008969</v>
      </c>
      <c r="Q29" s="111">
        <f>Modello_Pess!AH18</f>
        <v>77.506081122894699</v>
      </c>
      <c r="R29" s="111">
        <f>Modello_Pess!AH19</f>
        <v>84.690683798280475</v>
      </c>
      <c r="S29" s="111">
        <f>Modello_Pess!AH20</f>
        <v>88.965297967817705</v>
      </c>
      <c r="T29" s="111">
        <f>Modello_Pess!AH21</f>
        <v>92.904104683766022</v>
      </c>
      <c r="U29" s="111">
        <f>Modello_Pess!AH22</f>
        <v>96.506175459503055</v>
      </c>
      <c r="V29" s="111">
        <f>Modello_Pess!AH23</f>
        <v>99.770556154597728</v>
      </c>
      <c r="W29" s="111">
        <f>Modello_Pess!AH24</f>
        <v>102.69626692571428</v>
      </c>
      <c r="X29" s="111">
        <f>Modello_Pess!AH25</f>
        <v>97.042205875336691</v>
      </c>
      <c r="Y29" s="111">
        <f>Modello_Pess!AH26</f>
        <v>91.220979797500632</v>
      </c>
      <c r="Z29" s="111">
        <f>Modello_Pess!AH27</f>
        <v>85.231893121543791</v>
      </c>
      <c r="AA29" s="111">
        <f>Modello_Pess!AH28</f>
        <v>79.074238231156471</v>
      </c>
      <c r="AB29" s="111">
        <f>Modello_Pess!AH29</f>
        <v>72.747295433136784</v>
      </c>
      <c r="AC29" s="111">
        <f>Modello_Pess!AH30</f>
        <v>66.250332925648181</v>
      </c>
      <c r="AD29" s="111">
        <f>Modello_Pess!AH31</f>
        <v>59.582606765977886</v>
      </c>
      <c r="AE29" s="111">
        <f>Modello_Pess!AH32</f>
        <v>52.743360837795393</v>
      </c>
      <c r="AF29" s="111">
        <f>Modello_Pess!AH33</f>
        <v>45.731826817909663</v>
      </c>
      <c r="AG29" s="111">
        <f>Modello_Pess!AH34</f>
        <v>38.547224142523888</v>
      </c>
      <c r="AH29" s="111">
        <f>Modello_Pess!AH35</f>
        <v>31.188759972986659</v>
      </c>
      <c r="AI29" s="111">
        <f>Modello_Pess!AH36</f>
        <v>23.655629161038334</v>
      </c>
      <c r="AJ29" s="111">
        <f>Modello_Pess!AH37</f>
        <v>15.947014213551299</v>
      </c>
      <c r="AK29" s="111">
        <f>Modello_Pess!AH38</f>
        <v>8.0620852567629413</v>
      </c>
    </row>
    <row r="31" spans="1:37" ht="15" customHeight="1" x14ac:dyDescent="0.2">
      <c r="A31" s="110" t="s">
        <v>454</v>
      </c>
    </row>
    <row r="32" spans="1:37" ht="15" customHeight="1" x14ac:dyDescent="0.2">
      <c r="D32">
        <v>2027</v>
      </c>
      <c r="E32">
        <v>2028</v>
      </c>
      <c r="F32">
        <v>2029</v>
      </c>
      <c r="G32">
        <v>2030</v>
      </c>
      <c r="H32">
        <v>2031</v>
      </c>
      <c r="I32">
        <v>2032</v>
      </c>
      <c r="J32">
        <v>2033</v>
      </c>
      <c r="K32">
        <v>2034</v>
      </c>
      <c r="L32">
        <v>2035</v>
      </c>
      <c r="M32">
        <v>2036</v>
      </c>
      <c r="N32">
        <v>2037</v>
      </c>
      <c r="O32">
        <v>2038</v>
      </c>
      <c r="P32">
        <v>2039</v>
      </c>
      <c r="Q32">
        <v>2040</v>
      </c>
      <c r="R32">
        <v>2041</v>
      </c>
      <c r="S32">
        <v>2042</v>
      </c>
      <c r="T32">
        <v>2043</v>
      </c>
      <c r="U32">
        <v>2044</v>
      </c>
      <c r="V32">
        <v>2045</v>
      </c>
      <c r="W32">
        <v>2046</v>
      </c>
      <c r="X32">
        <v>2047</v>
      </c>
      <c r="Y32">
        <v>2048</v>
      </c>
      <c r="Z32">
        <v>2049</v>
      </c>
      <c r="AA32">
        <v>2050</v>
      </c>
      <c r="AB32">
        <v>2051</v>
      </c>
      <c r="AC32">
        <v>2052</v>
      </c>
      <c r="AD32">
        <v>2053</v>
      </c>
      <c r="AE32">
        <v>2054</v>
      </c>
      <c r="AF32">
        <v>2055</v>
      </c>
      <c r="AG32">
        <v>2056</v>
      </c>
      <c r="AH32">
        <v>2057</v>
      </c>
      <c r="AI32">
        <v>2058</v>
      </c>
      <c r="AJ32">
        <v>2059</v>
      </c>
      <c r="AK32">
        <v>2060</v>
      </c>
    </row>
    <row r="33" spans="1:37" ht="15" customHeight="1" x14ac:dyDescent="0.2">
      <c r="A33" t="s">
        <v>434</v>
      </c>
      <c r="B33" s="112">
        <v>7.4999999999999997E-3</v>
      </c>
      <c r="C33" s="112">
        <v>5.0000000000000001E-3</v>
      </c>
      <c r="D33" s="111">
        <f t="shared" ref="D33:AK33" si="0">D10+D29</f>
        <v>9.2515500000000017</v>
      </c>
      <c r="E33" s="111">
        <f t="shared" si="0"/>
        <v>20.088489663000004</v>
      </c>
      <c r="F33" s="111">
        <f t="shared" si="0"/>
        <v>32.525260061805</v>
      </c>
      <c r="G33" s="111">
        <f t="shared" si="0"/>
        <v>46.576492942864498</v>
      </c>
      <c r="H33" s="111">
        <f t="shared" si="0"/>
        <v>62.257012030841565</v>
      </c>
      <c r="I33" s="111">
        <f t="shared" si="0"/>
        <v>79.581834344666248</v>
      </c>
      <c r="J33" s="111">
        <f t="shared" si="0"/>
        <v>97.508911005061435</v>
      </c>
      <c r="K33" s="111">
        <f t="shared" si="0"/>
        <v>116.04375790831551</v>
      </c>
      <c r="L33" s="111">
        <f t="shared" si="0"/>
        <v>135.19195640606722</v>
      </c>
      <c r="M33" s="111">
        <f t="shared" si="0"/>
        <v>154.95915375643068</v>
      </c>
      <c r="N33" s="111">
        <f t="shared" si="0"/>
        <v>181.84802608643642</v>
      </c>
      <c r="O33" s="111">
        <f t="shared" si="0"/>
        <v>209.57063979308765</v>
      </c>
      <c r="P33" s="111">
        <f t="shared" si="0"/>
        <v>238.13461495772009</v>
      </c>
      <c r="Q33" s="111">
        <f t="shared" si="0"/>
        <v>267.54766047980911</v>
      </c>
      <c r="R33" s="111">
        <f t="shared" si="0"/>
        <v>297.81757468655849</v>
      </c>
      <c r="S33" s="111">
        <f t="shared" si="0"/>
        <v>328.9522459476359</v>
      </c>
      <c r="T33" s="111">
        <f t="shared" si="0"/>
        <v>360.95194367008691</v>
      </c>
      <c r="U33" s="111">
        <f t="shared" si="0"/>
        <v>393.82342344009487</v>
      </c>
      <c r="V33" s="111">
        <f t="shared" si="0"/>
        <v>427.57352182309745</v>
      </c>
      <c r="W33" s="111">
        <f t="shared" si="0"/>
        <v>462.20915684965115</v>
      </c>
      <c r="X33" s="111">
        <f t="shared" si="0"/>
        <v>501.85737665619467</v>
      </c>
      <c r="Y33" s="111">
        <f t="shared" si="0"/>
        <v>542.49465466782226</v>
      </c>
      <c r="Z33" s="111">
        <f t="shared" si="0"/>
        <v>584.1294772017286</v>
      </c>
      <c r="AA33" s="111">
        <f t="shared" si="0"/>
        <v>626.77042781982982</v>
      </c>
      <c r="AB33" s="111">
        <f t="shared" si="0"/>
        <v>670.42618795964427</v>
      </c>
      <c r="AC33" s="111">
        <f t="shared" si="0"/>
        <v>715.1055375705746</v>
      </c>
      <c r="AD33" s="111">
        <f t="shared" si="0"/>
        <v>760.8173557556222</v>
      </c>
      <c r="AE33" s="111">
        <f t="shared" si="0"/>
        <v>807.57062141856795</v>
      </c>
      <c r="AF33" s="111">
        <f t="shared" si="0"/>
        <v>855.3744139166489</v>
      </c>
      <c r="AG33" s="111">
        <f t="shared" si="0"/>
        <v>904.23791371876632</v>
      </c>
      <c r="AH33" s="111">
        <f t="shared" si="0"/>
        <v>953.42753533611653</v>
      </c>
      <c r="AI33" s="111">
        <f t="shared" si="0"/>
        <v>1002.9455865314947</v>
      </c>
      <c r="AJ33" s="111">
        <f t="shared" si="0"/>
        <v>1052.7943870877843</v>
      </c>
      <c r="AK33" s="111">
        <f t="shared" si="0"/>
        <v>1102.9762688649919</v>
      </c>
    </row>
    <row r="34" spans="1:37" ht="15" customHeight="1" x14ac:dyDescent="0.2">
      <c r="A34" t="s">
        <v>435</v>
      </c>
      <c r="B34" s="112">
        <v>7.4999999999999997E-3</v>
      </c>
      <c r="C34" s="112">
        <v>1.2500000000000001E-2</v>
      </c>
      <c r="D34" s="111">
        <f t="shared" ref="D34:AK34" si="1">D11+D29</f>
        <v>9.2515500000000017</v>
      </c>
      <c r="E34" s="111">
        <f t="shared" si="1"/>
        <v>20.134747413000003</v>
      </c>
      <c r="F34" s="111">
        <f t="shared" si="1"/>
        <v>32.672673400432501</v>
      </c>
      <c r="G34" s="111">
        <f t="shared" si="1"/>
        <v>46.888803011680253</v>
      </c>
      <c r="H34" s="111">
        <f t="shared" si="1"/>
        <v>62.807010173618181</v>
      </c>
      <c r="I34" s="111">
        <f t="shared" si="1"/>
        <v>80.451572746845699</v>
      </c>
      <c r="J34" s="111">
        <f t="shared" si="1"/>
        <v>98.789917129362124</v>
      </c>
      <c r="K34" s="111">
        <f t="shared" si="1"/>
        <v>117.83196648063316</v>
      </c>
      <c r="L34" s="111">
        <f t="shared" si="1"/>
        <v>137.58780065870675</v>
      </c>
      <c r="M34" s="111">
        <f t="shared" si="1"/>
        <v>158.06765821245136</v>
      </c>
      <c r="N34" s="111">
        <f t="shared" si="1"/>
        <v>185.77890090752311</v>
      </c>
      <c r="O34" s="111">
        <f t="shared" si="1"/>
        <v>214.48710393247251</v>
      </c>
      <c r="P34" s="111">
        <f t="shared" si="1"/>
        <v>244.20689993848424</v>
      </c>
      <c r="Q34" s="111">
        <f t="shared" si="1"/>
        <v>274.95314953174318</v>
      </c>
      <c r="R34" s="111">
        <f t="shared" si="1"/>
        <v>306.74094419681865</v>
      </c>
      <c r="S34" s="111">
        <f t="shared" si="1"/>
        <v>339.58560925843636</v>
      </c>
      <c r="T34" s="111">
        <f t="shared" si="1"/>
        <v>373.51812613212098</v>
      </c>
      <c r="U34" s="111">
        <f t="shared" si="1"/>
        <v>408.55704197530179</v>
      </c>
      <c r="V34" s="111">
        <f t="shared" si="1"/>
        <v>444.72118994984891</v>
      </c>
      <c r="W34" s="111">
        <f t="shared" si="1"/>
        <v>482.0296930705008</v>
      </c>
      <c r="X34" s="111">
        <f t="shared" si="1"/>
        <v>524.6220162542345</v>
      </c>
      <c r="Y34" s="111">
        <f t="shared" si="1"/>
        <v>568.57996604169398</v>
      </c>
      <c r="Z34" s="111">
        <f t="shared" si="1"/>
        <v>613.92540752930108</v>
      </c>
      <c r="AA34" s="111">
        <f t="shared" si="1"/>
        <v>660.68053915709856</v>
      </c>
      <c r="AB34" s="111">
        <f t="shared" si="1"/>
        <v>708.86789711054382</v>
      </c>
      <c r="AC34" s="111">
        <f t="shared" si="1"/>
        <v>758.51035977980916</v>
      </c>
      <c r="AD34" s="111">
        <f t="shared" si="1"/>
        <v>809.63115227730918</v>
      </c>
      <c r="AE34" s="111">
        <f t="shared" si="1"/>
        <v>862.2538510141984</v>
      </c>
      <c r="AF34" s="111">
        <f t="shared" si="1"/>
        <v>916.40238833658054</v>
      </c>
      <c r="AG34" s="111">
        <f t="shared" si="1"/>
        <v>972.10105722218759</v>
      </c>
      <c r="AH34" s="111">
        <f t="shared" si="1"/>
        <v>1028.6316483051526</v>
      </c>
      <c r="AI34" s="111">
        <f t="shared" si="1"/>
        <v>1086.0065417278668</v>
      </c>
      <c r="AJ34" s="111">
        <f t="shared" si="1"/>
        <v>1144.2382789043893</v>
      </c>
      <c r="AK34" s="111">
        <f t="shared" si="1"/>
        <v>1203.3395646258612</v>
      </c>
    </row>
    <row r="35" spans="1:37" ht="15" customHeight="1" x14ac:dyDescent="0.2">
      <c r="A35" t="s">
        <v>436</v>
      </c>
      <c r="B35" s="112">
        <v>7.4999999999999997E-3</v>
      </c>
      <c r="C35" s="112">
        <v>2.5000000000000001E-2</v>
      </c>
      <c r="D35" s="111">
        <f t="shared" ref="D35:AK35" si="2">D12+D29</f>
        <v>9.2515500000000017</v>
      </c>
      <c r="E35" s="111">
        <f t="shared" si="2"/>
        <v>20.211843663000003</v>
      </c>
      <c r="F35" s="111">
        <f t="shared" si="2"/>
        <v>32.919904223145004</v>
      </c>
      <c r="G35" s="111">
        <f t="shared" si="2"/>
        <v>47.415814044119102</v>
      </c>
      <c r="H35" s="111">
        <f t="shared" si="2"/>
        <v>63.740740687895951</v>
      </c>
      <c r="I35" s="111">
        <f t="shared" si="2"/>
        <v>81.936963638462018</v>
      </c>
      <c r="J35" s="111">
        <f t="shared" si="2"/>
        <v>100.99064117678607</v>
      </c>
      <c r="K35" s="111">
        <f t="shared" si="2"/>
        <v>120.92237099156843</v>
      </c>
      <c r="L35" s="111">
        <f t="shared" si="2"/>
        <v>141.75328967818257</v>
      </c>
      <c r="M35" s="111">
        <f t="shared" si="2"/>
        <v>163.50508609427732</v>
      </c>
      <c r="N35" s="111">
        <f t="shared" si="2"/>
        <v>192.69697755770449</v>
      </c>
      <c r="O35" s="111">
        <f t="shared" si="2"/>
        <v>223.188024072563</v>
      </c>
      <c r="P35" s="111">
        <f t="shared" si="2"/>
        <v>255.01074061654754</v>
      </c>
      <c r="Q35" s="111">
        <f t="shared" si="2"/>
        <v>288.19849063720153</v>
      </c>
      <c r="R35" s="111">
        <f t="shared" si="2"/>
        <v>322.78550718502402</v>
      </c>
      <c r="S35" s="111">
        <f t="shared" si="2"/>
        <v>358.80691457632855</v>
      </c>
      <c r="T35" s="111">
        <f t="shared" si="2"/>
        <v>396.3527179740932</v>
      </c>
      <c r="U35" s="111">
        <f t="shared" si="2"/>
        <v>435.47017388142774</v>
      </c>
      <c r="V35" s="111">
        <f t="shared" si="2"/>
        <v>476.20778598507553</v>
      </c>
      <c r="W35" s="111">
        <f t="shared" si="2"/>
        <v>518.61533692904868</v>
      </c>
      <c r="X35" s="111">
        <f t="shared" si="2"/>
        <v>566.86396903605589</v>
      </c>
      <c r="Y35" s="111">
        <f t="shared" si="2"/>
        <v>617.22271527279702</v>
      </c>
      <c r="Z35" s="111">
        <f t="shared" si="2"/>
        <v>669.75121281923407</v>
      </c>
      <c r="AA35" s="111">
        <f t="shared" si="2"/>
        <v>724.51065850937675</v>
      </c>
      <c r="AB35" s="111">
        <f t="shared" si="2"/>
        <v>781.56384820820324</v>
      </c>
      <c r="AC35" s="111">
        <f t="shared" si="2"/>
        <v>840.97521717587767</v>
      </c>
      <c r="AD35" s="111">
        <f t="shared" si="2"/>
        <v>902.81088144395642</v>
      </c>
      <c r="AE35" s="111">
        <f t="shared" si="2"/>
        <v>967.13868022890347</v>
      </c>
      <c r="AF35" s="111">
        <f t="shared" si="2"/>
        <v>1034.0282194088581</v>
      </c>
      <c r="AG35" s="111">
        <f t="shared" si="2"/>
        <v>1103.5509160902557</v>
      </c>
      <c r="AH35" s="111">
        <f t="shared" si="2"/>
        <v>1175.0371765584182</v>
      </c>
      <c r="AI35" s="111">
        <f t="shared" si="2"/>
        <v>1248.5402442916161</v>
      </c>
      <c r="AJ35" s="111">
        <f t="shared" si="2"/>
        <v>1324.1147104393178</v>
      </c>
      <c r="AK35" s="111">
        <f t="shared" si="2"/>
        <v>1401.8165477577984</v>
      </c>
    </row>
    <row r="36" spans="1:37" ht="15" customHeight="1" x14ac:dyDescent="0.2">
      <c r="A36" t="s">
        <v>437</v>
      </c>
      <c r="B36" s="112">
        <v>7.4999999999999997E-3</v>
      </c>
      <c r="C36" s="112">
        <v>0.04</v>
      </c>
      <c r="D36" s="111">
        <f t="shared" ref="D36:AK36" si="3">D13+D29</f>
        <v>9.2515500000000017</v>
      </c>
      <c r="E36" s="111">
        <f t="shared" si="3"/>
        <v>20.304359163000001</v>
      </c>
      <c r="F36" s="111">
        <f t="shared" si="3"/>
        <v>33.219125386650006</v>
      </c>
      <c r="G36" s="111">
        <f t="shared" si="3"/>
        <v>48.059031843495227</v>
      </c>
      <c r="H36" s="111">
        <f t="shared" si="3"/>
        <v>64.889845411967258</v>
      </c>
      <c r="I36" s="111">
        <f t="shared" si="3"/>
        <v>83.780019046588279</v>
      </c>
      <c r="J36" s="111">
        <f t="shared" si="3"/>
        <v>103.74353772483229</v>
      </c>
      <c r="K36" s="111">
        <f t="shared" si="3"/>
        <v>124.81998909703874</v>
      </c>
      <c r="L36" s="111">
        <f t="shared" si="3"/>
        <v>147.0505578504563</v>
      </c>
      <c r="M36" s="111">
        <f t="shared" si="3"/>
        <v>170.47808929297003</v>
      </c>
      <c r="N36" s="111">
        <f t="shared" si="3"/>
        <v>201.64411798814407</v>
      </c>
      <c r="O36" s="111">
        <f t="shared" si="3"/>
        <v>234.52869115835841</v>
      </c>
      <c r="P36" s="111">
        <f t="shared" si="3"/>
        <v>269.19802522924084</v>
      </c>
      <c r="Q36" s="111">
        <f t="shared" si="3"/>
        <v>305.72100953710566</v>
      </c>
      <c r="R36" s="111">
        <f t="shared" si="3"/>
        <v>344.16931298363897</v>
      </c>
      <c r="S36" s="111">
        <f t="shared" si="3"/>
        <v>384.6174949576893</v>
      </c>
      <c r="T36" s="111">
        <f t="shared" si="3"/>
        <v>427.24334581983607</v>
      </c>
      <c r="U36" s="111">
        <f t="shared" si="3"/>
        <v>472.14815604035516</v>
      </c>
      <c r="V36" s="111">
        <f t="shared" si="3"/>
        <v>519.43734740668901</v>
      </c>
      <c r="W36" s="111">
        <f t="shared" si="3"/>
        <v>569.22063925498389</v>
      </c>
      <c r="X36" s="111">
        <f t="shared" si="3"/>
        <v>625.73226950507853</v>
      </c>
      <c r="Y36" s="111">
        <f t="shared" si="3"/>
        <v>685.49307420799153</v>
      </c>
      <c r="Z36" s="111">
        <f t="shared" si="3"/>
        <v>748.64241214396588</v>
      </c>
      <c r="AA36" s="111">
        <f t="shared" si="3"/>
        <v>815.3252956025633</v>
      </c>
      <c r="AB36" s="111">
        <f t="shared" si="3"/>
        <v>885.69261708929059</v>
      </c>
      <c r="AC36" s="111">
        <f t="shared" si="3"/>
        <v>959.90138510383463</v>
      </c>
      <c r="AD36" s="111">
        <f t="shared" si="3"/>
        <v>1038.1149693527852</v>
      </c>
      <c r="AE36" s="111">
        <f t="shared" si="3"/>
        <v>1120.5033557742552</v>
      </c>
      <c r="AF36" s="111">
        <f t="shared" si="3"/>
        <v>1207.2434117668906</v>
      </c>
      <c r="AG36" s="111">
        <f t="shared" si="3"/>
        <v>1298.5191620314736</v>
      </c>
      <c r="AH36" s="111">
        <f t="shared" si="3"/>
        <v>1393.7792077165009</v>
      </c>
      <c r="AI36" s="111">
        <f t="shared" si="3"/>
        <v>1493.1896829448037</v>
      </c>
      <c r="AJ36" s="111">
        <f t="shared" si="3"/>
        <v>1596.9233958655918</v>
      </c>
      <c r="AK36" s="111">
        <f t="shared" si="3"/>
        <v>1705.1600960445101</v>
      </c>
    </row>
    <row r="37" spans="1:37" ht="15" customHeight="1" x14ac:dyDescent="0.2">
      <c r="A37" t="s">
        <v>438</v>
      </c>
      <c r="B37" s="112">
        <v>1.4999999999999999E-2</v>
      </c>
      <c r="C37" s="112">
        <v>5.0000000000000001E-3</v>
      </c>
      <c r="D37" s="111">
        <f t="shared" ref="D37:AK37" si="4">D14+D29</f>
        <v>9.2515500000000017</v>
      </c>
      <c r="E37" s="111">
        <f t="shared" si="4"/>
        <v>20.111618538000002</v>
      </c>
      <c r="F37" s="111">
        <f t="shared" si="4"/>
        <v>32.598590886900006</v>
      </c>
      <c r="G37" s="111">
        <f t="shared" si="4"/>
        <v>46.731075809093099</v>
      </c>
      <c r="H37" s="111">
        <f t="shared" si="4"/>
        <v>62.527907310372143</v>
      </c>
      <c r="I37" s="111">
        <f t="shared" si="4"/>
        <v>80.008146408207651</v>
      </c>
      <c r="J37" s="111">
        <f t="shared" si="4"/>
        <v>98.133822394411553</v>
      </c>
      <c r="K37" s="111">
        <f t="shared" si="4"/>
        <v>116.91192081568717</v>
      </c>
      <c r="L37" s="111">
        <f t="shared" si="4"/>
        <v>136.34950523912019</v>
      </c>
      <c r="M37" s="111">
        <f t="shared" si="4"/>
        <v>156.45371785647131</v>
      </c>
      <c r="N37" s="111">
        <f t="shared" si="4"/>
        <v>183.72874260078473</v>
      </c>
      <c r="O37" s="111">
        <f t="shared" si="4"/>
        <v>211.88816670262139</v>
      </c>
      <c r="P37" s="111">
        <f t="shared" si="4"/>
        <v>240.94114426061265</v>
      </c>
      <c r="Q37" s="111">
        <f t="shared" si="4"/>
        <v>270.89693153248868</v>
      </c>
      <c r="R37" s="111">
        <f t="shared" si="4"/>
        <v>301.7648877029232</v>
      </c>
      <c r="S37" s="111">
        <f t="shared" si="4"/>
        <v>333.55447565756953</v>
      </c>
      <c r="T37" s="111">
        <f t="shared" si="4"/>
        <v>366.24442426332877</v>
      </c>
      <c r="U37" s="111">
        <f t="shared" si="4"/>
        <v>399.83914722143118</v>
      </c>
      <c r="V37" s="111">
        <f t="shared" si="4"/>
        <v>434.34312053928676</v>
      </c>
      <c r="W37" s="111">
        <f t="shared" si="4"/>
        <v>469.76088273058087</v>
      </c>
      <c r="X37" s="111">
        <f t="shared" si="4"/>
        <v>510.21708316847196</v>
      </c>
      <c r="Y37" s="111">
        <f t="shared" si="4"/>
        <v>551.62397625672588</v>
      </c>
      <c r="Z37" s="111">
        <f t="shared" si="4"/>
        <v>593.98860274705805</v>
      </c>
      <c r="AA37" s="111">
        <f t="shared" si="4"/>
        <v>637.31808819129765</v>
      </c>
      <c r="AB37" s="111">
        <f t="shared" si="4"/>
        <v>681.61964341970292</v>
      </c>
      <c r="AC37" s="111">
        <f t="shared" si="4"/>
        <v>726.90056502368213</v>
      </c>
      <c r="AD37" s="111">
        <f t="shared" si="4"/>
        <v>773.16823584293763</v>
      </c>
      <c r="AE37" s="111">
        <f t="shared" si="4"/>
        <v>820.43012545706483</v>
      </c>
      <c r="AF37" s="111">
        <f t="shared" si="4"/>
        <v>868.69379068162175</v>
      </c>
      <c r="AG37" s="111">
        <f t="shared" si="4"/>
        <v>917.9668760686983</v>
      </c>
      <c r="AH37" s="111">
        <f t="shared" si="4"/>
        <v>967.51424667886704</v>
      </c>
      <c r="AI37" s="111">
        <f t="shared" si="4"/>
        <v>1017.3366471307563</v>
      </c>
      <c r="AJ37" s="111">
        <f t="shared" si="4"/>
        <v>1067.4348202087499</v>
      </c>
      <c r="AK37" s="111">
        <f t="shared" si="4"/>
        <v>1117.8095067581639</v>
      </c>
    </row>
    <row r="38" spans="1:37" ht="15" customHeight="1" x14ac:dyDescent="0.2">
      <c r="A38" t="s">
        <v>439</v>
      </c>
      <c r="B38" s="112">
        <v>1.4999999999999999E-2</v>
      </c>
      <c r="C38" s="112">
        <v>1.2500000000000001E-2</v>
      </c>
      <c r="D38" s="111">
        <f t="shared" ref="D38:AK38" si="5">D15+D29</f>
        <v>9.2515500000000017</v>
      </c>
      <c r="E38" s="111">
        <f t="shared" si="5"/>
        <v>20.157876288000004</v>
      </c>
      <c r="F38" s="111">
        <f t="shared" si="5"/>
        <v>32.746177692090008</v>
      </c>
      <c r="G38" s="111">
        <f t="shared" si="5"/>
        <v>47.044111493991608</v>
      </c>
      <c r="H38" s="111">
        <f t="shared" si="5"/>
        <v>63.079799510929249</v>
      </c>
      <c r="I38" s="111">
        <f t="shared" si="5"/>
        <v>80.88183425848635</v>
      </c>
      <c r="J38" s="111">
        <f t="shared" si="5"/>
        <v>99.422024675389281</v>
      </c>
      <c r="K38" s="111">
        <f t="shared" si="5"/>
        <v>118.71210233206043</v>
      </c>
      <c r="L38" s="111">
        <f t="shared" si="5"/>
        <v>138.7639833194213</v>
      </c>
      <c r="M38" s="111">
        <f t="shared" si="5"/>
        <v>159.58977067924724</v>
      </c>
      <c r="N38" s="111">
        <f t="shared" si="5"/>
        <v>187.69871937396141</v>
      </c>
      <c r="O38" s="111">
        <f t="shared" si="5"/>
        <v>216.85832694235495</v>
      </c>
      <c r="P38" s="111">
        <f t="shared" si="5"/>
        <v>247.08517799480137</v>
      </c>
      <c r="Q38" s="111">
        <f t="shared" si="5"/>
        <v>278.39611516703684</v>
      </c>
      <c r="R38" s="111">
        <f t="shared" si="5"/>
        <v>310.80824251097516</v>
      </c>
      <c r="S38" s="111">
        <f t="shared" si="5"/>
        <v>344.338928930007</v>
      </c>
      <c r="T38" s="111">
        <f t="shared" si="5"/>
        <v>378.99810203434487</v>
      </c>
      <c r="U38" s="111">
        <f t="shared" si="5"/>
        <v>414.80229836143167</v>
      </c>
      <c r="V38" s="111">
        <f t="shared" si="5"/>
        <v>451.76830835675179</v>
      </c>
      <c r="W38" s="111">
        <f t="shared" si="5"/>
        <v>489.9131796286494</v>
      </c>
      <c r="X38" s="111">
        <f t="shared" si="5"/>
        <v>533.3742683963028</v>
      </c>
      <c r="Y38" s="111">
        <f t="shared" si="5"/>
        <v>578.16943787960327</v>
      </c>
      <c r="Z38" s="111">
        <f t="shared" si="5"/>
        <v>624.31890511366566</v>
      </c>
      <c r="AA38" s="111">
        <f t="shared" si="5"/>
        <v>671.84319465967928</v>
      </c>
      <c r="AB38" s="111">
        <f t="shared" si="5"/>
        <v>720.7631425936404</v>
      </c>
      <c r="AC38" s="111">
        <f t="shared" si="5"/>
        <v>771.0999005471931</v>
      </c>
      <c r="AD38" s="111">
        <f t="shared" si="5"/>
        <v>822.87493980122781</v>
      </c>
      <c r="AE38" s="111">
        <f t="shared" si="5"/>
        <v>876.11005543291094</v>
      </c>
      <c r="AF38" s="111">
        <f t="shared" si="5"/>
        <v>930.82737051681056</v>
      </c>
      <c r="AG38" s="111">
        <f t="shared" si="5"/>
        <v>987.04934038080489</v>
      </c>
      <c r="AH38" s="111">
        <f t="shared" si="5"/>
        <v>1044.0558891843214</v>
      </c>
      <c r="AI38" s="111">
        <f t="shared" si="5"/>
        <v>1101.8575013178229</v>
      </c>
      <c r="AJ38" s="111">
        <f t="shared" si="5"/>
        <v>1160.4647927079277</v>
      </c>
      <c r="AK38" s="111">
        <f t="shared" si="5"/>
        <v>1219.8885124585456</v>
      </c>
    </row>
    <row r="39" spans="1:37" ht="15" customHeight="1" x14ac:dyDescent="0.2">
      <c r="A39" t="s">
        <v>440</v>
      </c>
      <c r="B39" s="112">
        <v>1.4999999999999999E-2</v>
      </c>
      <c r="C39" s="112">
        <v>2.5000000000000001E-2</v>
      </c>
      <c r="D39" s="111">
        <f t="shared" ref="D39:AK39" si="6">D16+D29</f>
        <v>9.2515500000000017</v>
      </c>
      <c r="E39" s="111">
        <f t="shared" si="6"/>
        <v>20.234972538000005</v>
      </c>
      <c r="F39" s="111">
        <f t="shared" si="6"/>
        <v>32.993697625740005</v>
      </c>
      <c r="G39" s="111">
        <f t="shared" si="6"/>
        <v>47.572337668787092</v>
      </c>
      <c r="H39" s="111">
        <f t="shared" si="6"/>
        <v>64.016716902151472</v>
      </c>
      <c r="I39" s="111">
        <f t="shared" si="6"/>
        <v>82.373901565687106</v>
      </c>
      <c r="J39" s="111">
        <f t="shared" si="6"/>
        <v>101.6349703176828</v>
      </c>
      <c r="K39" s="111">
        <f t="shared" si="6"/>
        <v>121.82293532206235</v>
      </c>
      <c r="L39" s="111">
        <f t="shared" si="6"/>
        <v>142.96141322808327</v>
      </c>
      <c r="M39" s="111">
        <f t="shared" si="6"/>
        <v>165.07464025574791</v>
      </c>
      <c r="N39" s="111">
        <f t="shared" si="6"/>
        <v>194.68445016701935</v>
      </c>
      <c r="O39" s="111">
        <f t="shared" si="6"/>
        <v>225.65259030972442</v>
      </c>
      <c r="P39" s="111">
        <f t="shared" si="6"/>
        <v>258.0143357684492</v>
      </c>
      <c r="Q39" s="111">
        <f t="shared" si="6"/>
        <v>291.80588477117323</v>
      </c>
      <c r="R39" s="111">
        <f t="shared" si="6"/>
        <v>327.06438178076672</v>
      </c>
      <c r="S39" s="111">
        <f t="shared" si="6"/>
        <v>363.82794116545199</v>
      </c>
      <c r="T39" s="111">
        <f t="shared" si="6"/>
        <v>402.16650996270329</v>
      </c>
      <c r="U39" s="111">
        <f t="shared" si="6"/>
        <v>442.12609145488136</v>
      </c>
      <c r="V39" s="111">
        <f t="shared" si="6"/>
        <v>483.75389781381176</v>
      </c>
      <c r="W39" s="111">
        <f t="shared" si="6"/>
        <v>527.09838072466289</v>
      </c>
      <c r="X39" s="111">
        <f t="shared" si="6"/>
        <v>576.32931092850322</v>
      </c>
      <c r="Y39" s="111">
        <f t="shared" si="6"/>
        <v>627.65250725662065</v>
      </c>
      <c r="Z39" s="111">
        <f t="shared" si="6"/>
        <v>681.12590695113465</v>
      </c>
      <c r="AA39" s="111">
        <f t="shared" si="6"/>
        <v>736.80895919298632</v>
      </c>
      <c r="AB39" s="111">
        <f t="shared" si="6"/>
        <v>794.76266319563672</v>
      </c>
      <c r="AC39" s="111">
        <f t="shared" si="6"/>
        <v>855.04960725374553</v>
      </c>
      <c r="AD39" s="111">
        <f t="shared" si="6"/>
        <v>917.73400877071333</v>
      </c>
      <c r="AE39" s="111">
        <f t="shared" si="6"/>
        <v>982.88175528957413</v>
      </c>
      <c r="AF39" s="111">
        <f t="shared" si="6"/>
        <v>1050.560446552329</v>
      </c>
      <c r="AG39" s="111">
        <f t="shared" si="6"/>
        <v>1120.8394376134474</v>
      </c>
      <c r="AH39" s="111">
        <f t="shared" si="6"/>
        <v>1193.0470153007586</v>
      </c>
      <c r="AI39" s="111">
        <f t="shared" si="6"/>
        <v>1267.2342447023127</v>
      </c>
      <c r="AJ39" s="111">
        <f t="shared" si="6"/>
        <v>1343.4534780789895</v>
      </c>
      <c r="AK39" s="111">
        <f t="shared" si="6"/>
        <v>1421.7583871950635</v>
      </c>
    </row>
    <row r="40" spans="1:37" ht="15" customHeight="1" x14ac:dyDescent="0.2">
      <c r="A40" t="s">
        <v>441</v>
      </c>
      <c r="B40" s="112">
        <v>1.4999999999999999E-2</v>
      </c>
      <c r="C40" s="112">
        <v>0.04</v>
      </c>
      <c r="D40" s="111">
        <f t="shared" ref="D40:AK40" si="7">D17+D29</f>
        <v>9.2515500000000017</v>
      </c>
      <c r="E40" s="111">
        <f t="shared" si="7"/>
        <v>20.327488038000006</v>
      </c>
      <c r="F40" s="111">
        <f t="shared" si="7"/>
        <v>33.293265722370009</v>
      </c>
      <c r="G40" s="111">
        <f t="shared" si="7"/>
        <v>48.217023179652152</v>
      </c>
      <c r="H40" s="111">
        <f t="shared" si="7"/>
        <v>65.169695900541299</v>
      </c>
      <c r="I40" s="111">
        <f t="shared" si="7"/>
        <v>84.225125862318436</v>
      </c>
      <c r="J40" s="111">
        <f t="shared" si="7"/>
        <v>104.40291657868268</v>
      </c>
      <c r="K40" s="111">
        <f t="shared" si="7"/>
        <v>125.74587006611792</v>
      </c>
      <c r="L40" s="111">
        <f t="shared" si="7"/>
        <v>148.2985191694431</v>
      </c>
      <c r="M40" s="111">
        <f t="shared" si="7"/>
        <v>172.10719658753868</v>
      </c>
      <c r="N40" s="111">
        <f t="shared" si="7"/>
        <v>203.71706916830297</v>
      </c>
      <c r="O40" s="111">
        <f t="shared" si="7"/>
        <v>237.11196719833737</v>
      </c>
      <c r="P40" s="111">
        <f t="shared" si="7"/>
        <v>272.36204706963014</v>
      </c>
      <c r="Q40" s="111">
        <f t="shared" si="7"/>
        <v>309.54030135438302</v>
      </c>
      <c r="R40" s="111">
        <f t="shared" si="7"/>
        <v>348.72267208202908</v>
      </c>
      <c r="S40" s="111">
        <f t="shared" si="7"/>
        <v>389.98816854850213</v>
      </c>
      <c r="T40" s="111">
        <f t="shared" si="7"/>
        <v>433.49608608904003</v>
      </c>
      <c r="U40" s="111">
        <f t="shared" si="7"/>
        <v>479.34778670545563</v>
      </c>
      <c r="V40" s="111">
        <f t="shared" si="7"/>
        <v>527.64875961433972</v>
      </c>
      <c r="W40" s="111">
        <f t="shared" si="7"/>
        <v>578.5087871221001</v>
      </c>
      <c r="X40" s="111">
        <f t="shared" si="7"/>
        <v>636.16216528882217</v>
      </c>
      <c r="Y40" s="111">
        <f t="shared" si="7"/>
        <v>697.06798236714997</v>
      </c>
      <c r="Z40" s="111">
        <f t="shared" si="7"/>
        <v>761.36447397797212</v>
      </c>
      <c r="AA40" s="111">
        <f t="shared" si="7"/>
        <v>829.19547910834126</v>
      </c>
      <c r="AB40" s="111">
        <f t="shared" si="7"/>
        <v>900.71066472203347</v>
      </c>
      <c r="AC40" s="111">
        <f t="shared" si="7"/>
        <v>976.06575935763578</v>
      </c>
      <c r="AD40" s="111">
        <f t="shared" si="7"/>
        <v>1055.4227960736807</v>
      </c>
      <c r="AE40" s="111">
        <f t="shared" si="7"/>
        <v>1138.9503651147313</v>
      </c>
      <c r="AF40" s="111">
        <f t="shared" si="7"/>
        <v>1226.8238766872691</v>
      </c>
      <c r="AG40" s="111">
        <f t="shared" si="7"/>
        <v>1319.2258342498017</v>
      </c>
      <c r="AH40" s="111">
        <f t="shared" si="7"/>
        <v>1415.6032510046311</v>
      </c>
      <c r="AI40" s="111">
        <f t="shared" si="7"/>
        <v>1516.1206036642568</v>
      </c>
      <c r="AJ40" s="111">
        <f t="shared" si="7"/>
        <v>1620.9489706325305</v>
      </c>
      <c r="AK40" s="111">
        <f t="shared" si="7"/>
        <v>1730.2662964087281</v>
      </c>
    </row>
    <row r="41" spans="1:37" ht="15" customHeight="1" x14ac:dyDescent="0.2">
      <c r="A41" t="s">
        <v>442</v>
      </c>
      <c r="B41" s="112">
        <v>2.5000000000000001E-2</v>
      </c>
      <c r="C41" s="112">
        <v>5.0000000000000001E-3</v>
      </c>
      <c r="D41" s="111">
        <f t="shared" ref="D41:AK41" si="8">D18+D29</f>
        <v>9.2515500000000017</v>
      </c>
      <c r="E41" s="111">
        <f t="shared" si="8"/>
        <v>20.142457038000003</v>
      </c>
      <c r="F41" s="111">
        <f t="shared" si="8"/>
        <v>32.696365320360002</v>
      </c>
      <c r="G41" s="111">
        <f t="shared" si="8"/>
        <v>46.937186297397901</v>
      </c>
      <c r="H41" s="111">
        <f t="shared" si="8"/>
        <v>62.889101016412909</v>
      </c>
      <c r="I41" s="111">
        <f t="shared" si="8"/>
        <v>80.576562492929511</v>
      </c>
      <c r="J41" s="111">
        <f t="shared" si="8"/>
        <v>98.967037580211695</v>
      </c>
      <c r="K41" s="111">
        <f t="shared" si="8"/>
        <v>118.06947135884934</v>
      </c>
      <c r="L41" s="111">
        <f t="shared" si="8"/>
        <v>137.89290368319078</v>
      </c>
      <c r="M41" s="111">
        <f t="shared" si="8"/>
        <v>158.44646998985871</v>
      </c>
      <c r="N41" s="111">
        <f t="shared" si="8"/>
        <v>186.23636461991578</v>
      </c>
      <c r="O41" s="111">
        <f t="shared" si="8"/>
        <v>214.97820258199965</v>
      </c>
      <c r="P41" s="111">
        <f t="shared" si="8"/>
        <v>244.68318333113609</v>
      </c>
      <c r="Q41" s="111">
        <f t="shared" si="8"/>
        <v>275.36262626939487</v>
      </c>
      <c r="R41" s="111">
        <f t="shared" si="8"/>
        <v>307.02797172474288</v>
      </c>
      <c r="S41" s="111">
        <f t="shared" si="8"/>
        <v>339.69078193748106</v>
      </c>
      <c r="T41" s="111">
        <f t="shared" si="8"/>
        <v>373.30106505431809</v>
      </c>
      <c r="U41" s="111">
        <f t="shared" si="8"/>
        <v>407.86011226321307</v>
      </c>
      <c r="V41" s="111">
        <f t="shared" si="8"/>
        <v>443.36925216087258</v>
      </c>
      <c r="W41" s="111">
        <f t="shared" si="8"/>
        <v>479.8298505718206</v>
      </c>
      <c r="X41" s="111">
        <f t="shared" si="8"/>
        <v>521.36335851817489</v>
      </c>
      <c r="Y41" s="111">
        <f t="shared" si="8"/>
        <v>563.79640504193071</v>
      </c>
      <c r="Z41" s="111">
        <f t="shared" si="8"/>
        <v>607.13410347416379</v>
      </c>
      <c r="AA41" s="111">
        <f t="shared" si="8"/>
        <v>651.3816353532543</v>
      </c>
      <c r="AB41" s="111">
        <f t="shared" si="8"/>
        <v>696.54425069978106</v>
      </c>
      <c r="AC41" s="111">
        <f t="shared" si="8"/>
        <v>742.62726829449196</v>
      </c>
      <c r="AD41" s="111">
        <f t="shared" si="8"/>
        <v>789.63607595935798</v>
      </c>
      <c r="AE41" s="111">
        <f t="shared" si="8"/>
        <v>837.57613084172704</v>
      </c>
      <c r="AF41" s="111">
        <f t="shared" si="8"/>
        <v>886.4529597015852</v>
      </c>
      <c r="AG41" s="111">
        <f t="shared" si="8"/>
        <v>936.27215920194067</v>
      </c>
      <c r="AH41" s="111">
        <f t="shared" si="8"/>
        <v>986.29652846920089</v>
      </c>
      <c r="AI41" s="111">
        <f t="shared" si="8"/>
        <v>1036.5247279297716</v>
      </c>
      <c r="AJ41" s="111">
        <f t="shared" si="8"/>
        <v>1086.9553977033709</v>
      </c>
      <c r="AK41" s="111">
        <f t="shared" si="8"/>
        <v>1137.5871572823935</v>
      </c>
    </row>
    <row r="42" spans="1:37" ht="15" customHeight="1" x14ac:dyDescent="0.2">
      <c r="A42" t="s">
        <v>443</v>
      </c>
      <c r="B42" s="112">
        <v>2.5000000000000001E-2</v>
      </c>
      <c r="C42" s="112">
        <v>1.2500000000000001E-2</v>
      </c>
      <c r="D42" s="111">
        <f t="shared" ref="D42:AK42" si="9">D19+D29</f>
        <v>9.2515500000000017</v>
      </c>
      <c r="E42" s="111">
        <f t="shared" si="9"/>
        <v>20.188714788000006</v>
      </c>
      <c r="F42" s="111">
        <f t="shared" si="9"/>
        <v>32.844183414300005</v>
      </c>
      <c r="G42" s="111">
        <f t="shared" si="9"/>
        <v>47.251189470406729</v>
      </c>
      <c r="H42" s="111">
        <f t="shared" si="9"/>
        <v>63.443518627344005</v>
      </c>
      <c r="I42" s="111">
        <f t="shared" si="9"/>
        <v>81.455516274007167</v>
      </c>
      <c r="J42" s="111">
        <f t="shared" si="9"/>
        <v>100.2648347367588</v>
      </c>
      <c r="K42" s="111">
        <f t="shared" si="9"/>
        <v>119.8856168006301</v>
      </c>
      <c r="L42" s="111">
        <f t="shared" si="9"/>
        <v>140.3322268670407</v>
      </c>
      <c r="M42" s="111">
        <f t="shared" si="9"/>
        <v>161.61925396830836</v>
      </c>
      <c r="N42" s="111">
        <f t="shared" si="9"/>
        <v>190.25847732921247</v>
      </c>
      <c r="O42" s="111">
        <f t="shared" si="9"/>
        <v>220.01995762219826</v>
      </c>
      <c r="P42" s="111">
        <f t="shared" si="9"/>
        <v>250.92288206989099</v>
      </c>
      <c r="Q42" s="111">
        <f t="shared" si="9"/>
        <v>282.98673601409519</v>
      </c>
      <c r="R42" s="111">
        <f t="shared" si="9"/>
        <v>316.23130692985069</v>
      </c>
      <c r="S42" s="111">
        <f t="shared" si="9"/>
        <v>350.67668849210122</v>
      </c>
      <c r="T42" s="111">
        <f t="shared" si="9"/>
        <v>386.30473657064346</v>
      </c>
      <c r="U42" s="111">
        <f t="shared" si="9"/>
        <v>423.1293068762717</v>
      </c>
      <c r="V42" s="111">
        <f t="shared" si="9"/>
        <v>461.16446623262226</v>
      </c>
      <c r="W42" s="111">
        <f t="shared" si="9"/>
        <v>500.42449503951423</v>
      </c>
      <c r="X42" s="111">
        <f t="shared" si="9"/>
        <v>545.04393791906057</v>
      </c>
      <c r="Y42" s="111">
        <f t="shared" si="9"/>
        <v>590.95540033014879</v>
      </c>
      <c r="Z42" s="111">
        <f t="shared" si="9"/>
        <v>638.1769018928178</v>
      </c>
      <c r="AA42" s="111">
        <f t="shared" si="9"/>
        <v>686.72673532978615</v>
      </c>
      <c r="AB42" s="111">
        <f t="shared" si="9"/>
        <v>736.6234699044353</v>
      </c>
      <c r="AC42" s="111">
        <f t="shared" si="9"/>
        <v>787.88595490370426</v>
      </c>
      <c r="AD42" s="111">
        <f t="shared" si="9"/>
        <v>840.53332316645185</v>
      </c>
      <c r="AE42" s="111">
        <f t="shared" si="9"/>
        <v>894.58499465786008</v>
      </c>
      <c r="AF42" s="111">
        <f t="shared" si="9"/>
        <v>950.06068009044941</v>
      </c>
      <c r="AG42" s="111">
        <f t="shared" si="9"/>
        <v>1006.9803845922933</v>
      </c>
      <c r="AH42" s="111">
        <f t="shared" si="9"/>
        <v>1064.6215436898785</v>
      </c>
      <c r="AI42" s="111">
        <f t="shared" si="9"/>
        <v>1122.9921141044292</v>
      </c>
      <c r="AJ42" s="111">
        <f t="shared" si="9"/>
        <v>1182.1001444459769</v>
      </c>
      <c r="AK42" s="111">
        <f t="shared" si="9"/>
        <v>1241.9537762354557</v>
      </c>
    </row>
    <row r="43" spans="1:37" ht="15" customHeight="1" x14ac:dyDescent="0.2">
      <c r="A43" t="s">
        <v>444</v>
      </c>
      <c r="B43" s="112">
        <v>2.5000000000000001E-2</v>
      </c>
      <c r="C43" s="112">
        <v>2.5000000000000001E-2</v>
      </c>
      <c r="D43" s="111">
        <f t="shared" ref="D43:AK43" si="10">D20+D29</f>
        <v>9.2515500000000017</v>
      </c>
      <c r="E43" s="111">
        <f t="shared" si="10"/>
        <v>20.265811038000002</v>
      </c>
      <c r="F43" s="111">
        <f t="shared" si="10"/>
        <v>33.092088829200009</v>
      </c>
      <c r="G43" s="111">
        <f t="shared" si="10"/>
        <v>47.781035835011103</v>
      </c>
      <c r="H43" s="111">
        <f t="shared" si="10"/>
        <v>64.384685187825525</v>
      </c>
      <c r="I43" s="111">
        <f t="shared" si="10"/>
        <v>82.956485468653909</v>
      </c>
      <c r="J43" s="111">
        <f t="shared" si="10"/>
        <v>102.49407583887844</v>
      </c>
      <c r="K43" s="111">
        <f t="shared" si="10"/>
        <v>123.02368776272093</v>
      </c>
      <c r="L43" s="111">
        <f t="shared" si="10"/>
        <v>144.57224462795091</v>
      </c>
      <c r="M43" s="111">
        <f t="shared" si="10"/>
        <v>167.16737913770874</v>
      </c>
      <c r="N43" s="111">
        <f t="shared" si="10"/>
        <v>197.33441364610584</v>
      </c>
      <c r="O43" s="111">
        <f t="shared" si="10"/>
        <v>228.93867862593964</v>
      </c>
      <c r="P43" s="111">
        <f t="shared" si="10"/>
        <v>262.01912930431803</v>
      </c>
      <c r="Q43" s="111">
        <f t="shared" si="10"/>
        <v>296.61574361646888</v>
      </c>
      <c r="R43" s="111">
        <f t="shared" si="10"/>
        <v>332.76954790842376</v>
      </c>
      <c r="S43" s="111">
        <f t="shared" si="10"/>
        <v>370.52264328428322</v>
      </c>
      <c r="T43" s="111">
        <f t="shared" si="10"/>
        <v>409.91823261418352</v>
      </c>
      <c r="U43" s="111">
        <f t="shared" si="10"/>
        <v>451.00064821948615</v>
      </c>
      <c r="V43" s="111">
        <f t="shared" si="10"/>
        <v>493.81538025212677</v>
      </c>
      <c r="W43" s="111">
        <f t="shared" si="10"/>
        <v>538.40910578548164</v>
      </c>
      <c r="X43" s="111">
        <f t="shared" si="10"/>
        <v>588.94976678509965</v>
      </c>
      <c r="Y43" s="111">
        <f t="shared" si="10"/>
        <v>641.55889656838531</v>
      </c>
      <c r="Z43" s="111">
        <f t="shared" si="10"/>
        <v>696.29216579366835</v>
      </c>
      <c r="AA43" s="111">
        <f t="shared" si="10"/>
        <v>753.20669343779878</v>
      </c>
      <c r="AB43" s="111">
        <f t="shared" si="10"/>
        <v>812.36108317888113</v>
      </c>
      <c r="AC43" s="111">
        <f t="shared" si="10"/>
        <v>873.81546069090246</v>
      </c>
      <c r="AD43" s="111">
        <f t="shared" si="10"/>
        <v>937.63151187305562</v>
      </c>
      <c r="AE43" s="111">
        <f t="shared" si="10"/>
        <v>1003.8725220371348</v>
      </c>
      <c r="AF43" s="111">
        <f t="shared" si="10"/>
        <v>1072.6034160769568</v>
      </c>
      <c r="AG43" s="111">
        <f t="shared" si="10"/>
        <v>1143.89079964437</v>
      </c>
      <c r="AH43" s="111">
        <f t="shared" si="10"/>
        <v>1217.0601336238792</v>
      </c>
      <c r="AI43" s="111">
        <f t="shared" si="10"/>
        <v>1292.159578583241</v>
      </c>
      <c r="AJ43" s="111">
        <f t="shared" si="10"/>
        <v>1369.2385015985515</v>
      </c>
      <c r="AK43" s="111">
        <f t="shared" si="10"/>
        <v>1448.34750644475</v>
      </c>
    </row>
    <row r="44" spans="1:37" ht="15" customHeight="1" x14ac:dyDescent="0.2">
      <c r="A44" t="s">
        <v>445</v>
      </c>
      <c r="B44" s="112">
        <v>2.5000000000000001E-2</v>
      </c>
      <c r="C44" s="112">
        <v>0.04</v>
      </c>
      <c r="D44" s="111">
        <f t="shared" ref="D44:AK44" si="11">D21+D29</f>
        <v>9.2515500000000017</v>
      </c>
      <c r="E44" s="111">
        <f t="shared" si="11"/>
        <v>20.358326538000004</v>
      </c>
      <c r="F44" s="111">
        <f t="shared" si="11"/>
        <v>33.392119503330008</v>
      </c>
      <c r="G44" s="111">
        <f t="shared" si="11"/>
        <v>48.427678294528057</v>
      </c>
      <c r="H44" s="111">
        <f t="shared" si="11"/>
        <v>65.542829885306674</v>
      </c>
      <c r="I44" s="111">
        <f t="shared" si="11"/>
        <v>84.81860161662533</v>
      </c>
      <c r="J44" s="111">
        <f t="shared" si="11"/>
        <v>105.28208838381653</v>
      </c>
      <c r="K44" s="111">
        <f t="shared" si="11"/>
        <v>126.98037802489016</v>
      </c>
      <c r="L44" s="111">
        <f t="shared" si="11"/>
        <v>149.96246759475883</v>
      </c>
      <c r="M44" s="111">
        <f t="shared" si="11"/>
        <v>174.27933964696354</v>
      </c>
      <c r="N44" s="111">
        <f t="shared" si="11"/>
        <v>206.48100407518146</v>
      </c>
      <c r="O44" s="111">
        <f t="shared" si="11"/>
        <v>240.55633525164257</v>
      </c>
      <c r="P44" s="111">
        <f t="shared" si="11"/>
        <v>276.58074285681579</v>
      </c>
      <c r="Q44" s="111">
        <f t="shared" si="11"/>
        <v>314.63269044408628</v>
      </c>
      <c r="R44" s="111">
        <f t="shared" si="11"/>
        <v>354.79381754654941</v>
      </c>
      <c r="S44" s="111">
        <f t="shared" si="11"/>
        <v>397.14906666958609</v>
      </c>
      <c r="T44" s="111">
        <f t="shared" si="11"/>
        <v>441.83307311464552</v>
      </c>
      <c r="U44" s="111">
        <f t="shared" si="11"/>
        <v>488.94729425892297</v>
      </c>
      <c r="V44" s="111">
        <f t="shared" si="11"/>
        <v>538.59730922454082</v>
      </c>
      <c r="W44" s="111">
        <f t="shared" si="11"/>
        <v>590.89298427825531</v>
      </c>
      <c r="X44" s="111">
        <f t="shared" si="11"/>
        <v>650.06869300048072</v>
      </c>
      <c r="Y44" s="111">
        <f t="shared" si="11"/>
        <v>712.50119324602815</v>
      </c>
      <c r="Z44" s="111">
        <f t="shared" si="11"/>
        <v>778.32722308998041</v>
      </c>
      <c r="AA44" s="111">
        <f t="shared" si="11"/>
        <v>847.68905711604543</v>
      </c>
      <c r="AB44" s="111">
        <f t="shared" si="11"/>
        <v>920.73472823235727</v>
      </c>
      <c r="AC44" s="111">
        <f t="shared" si="11"/>
        <v>997.61825836270384</v>
      </c>
      <c r="AD44" s="111">
        <f t="shared" si="11"/>
        <v>1078.4998983682081</v>
      </c>
      <c r="AE44" s="111">
        <f t="shared" si="11"/>
        <v>1163.5463775686994</v>
      </c>
      <c r="AF44" s="111">
        <f t="shared" si="11"/>
        <v>1252.9311632477741</v>
      </c>
      <c r="AG44" s="111">
        <f t="shared" si="11"/>
        <v>1346.8347305409056</v>
      </c>
      <c r="AH44" s="111">
        <f t="shared" si="11"/>
        <v>1444.7019753888042</v>
      </c>
      <c r="AI44" s="111">
        <f t="shared" si="11"/>
        <v>1546.6951646235266</v>
      </c>
      <c r="AJ44" s="111">
        <f t="shared" si="11"/>
        <v>1652.9830703217815</v>
      </c>
      <c r="AK44" s="111">
        <f t="shared" si="11"/>
        <v>1763.7412302276844</v>
      </c>
    </row>
    <row r="45" spans="1:37" ht="15" customHeight="1" x14ac:dyDescent="0.2">
      <c r="A45" t="s">
        <v>446</v>
      </c>
      <c r="B45" s="112">
        <v>3.5000000000000003E-2</v>
      </c>
      <c r="C45" s="112">
        <v>5.0000000000000001E-3</v>
      </c>
      <c r="D45" s="111">
        <f t="shared" ref="D45:AK45" si="12">D22+D29</f>
        <v>9.2515500000000017</v>
      </c>
      <c r="E45" s="111">
        <f t="shared" si="12"/>
        <v>20.173295538000005</v>
      </c>
      <c r="F45" s="111">
        <f t="shared" si="12"/>
        <v>32.794139753820005</v>
      </c>
      <c r="G45" s="111">
        <f t="shared" si="12"/>
        <v>47.143296785702702</v>
      </c>
      <c r="H45" s="111">
        <f t="shared" si="12"/>
        <v>63.25029472245366</v>
      </c>
      <c r="I45" s="111">
        <f t="shared" si="12"/>
        <v>81.144978577651372</v>
      </c>
      <c r="J45" s="111">
        <f t="shared" si="12"/>
        <v>99.800252766011852</v>
      </c>
      <c r="K45" s="111">
        <f t="shared" si="12"/>
        <v>119.22702190201154</v>
      </c>
      <c r="L45" s="111">
        <f t="shared" si="12"/>
        <v>139.4363021272614</v>
      </c>
      <c r="M45" s="111">
        <f t="shared" si="12"/>
        <v>160.43922212324617</v>
      </c>
      <c r="N45" s="111">
        <f t="shared" si="12"/>
        <v>188.74398663904682</v>
      </c>
      <c r="O45" s="111">
        <f t="shared" si="12"/>
        <v>218.06823846137792</v>
      </c>
      <c r="P45" s="111">
        <f t="shared" si="12"/>
        <v>248.42522240165954</v>
      </c>
      <c r="Q45" s="111">
        <f t="shared" si="12"/>
        <v>279.82832100630105</v>
      </c>
      <c r="R45" s="111">
        <f t="shared" si="12"/>
        <v>312.29105574656251</v>
      </c>
      <c r="S45" s="111">
        <f t="shared" si="12"/>
        <v>345.8270882173926</v>
      </c>
      <c r="T45" s="111">
        <f t="shared" si="12"/>
        <v>380.35770584530729</v>
      </c>
      <c r="U45" s="111">
        <f t="shared" si="12"/>
        <v>415.88107730499485</v>
      </c>
      <c r="V45" s="111">
        <f t="shared" si="12"/>
        <v>452.39538378245828</v>
      </c>
      <c r="W45" s="111">
        <f t="shared" si="12"/>
        <v>489.89881841306027</v>
      </c>
      <c r="X45" s="111">
        <f t="shared" si="12"/>
        <v>532.50963386787794</v>
      </c>
      <c r="Y45" s="111">
        <f t="shared" si="12"/>
        <v>575.96883382713565</v>
      </c>
      <c r="Z45" s="111">
        <f t="shared" si="12"/>
        <v>620.27960420126988</v>
      </c>
      <c r="AA45" s="111">
        <f t="shared" si="12"/>
        <v>665.4451825152114</v>
      </c>
      <c r="AB45" s="111">
        <f t="shared" si="12"/>
        <v>711.46885797985942</v>
      </c>
      <c r="AC45" s="111">
        <f t="shared" si="12"/>
        <v>758.353971565302</v>
      </c>
      <c r="AD45" s="111">
        <f t="shared" si="12"/>
        <v>806.10391607577856</v>
      </c>
      <c r="AE45" s="111">
        <f t="shared" si="12"/>
        <v>854.72213622638947</v>
      </c>
      <c r="AF45" s="111">
        <f t="shared" si="12"/>
        <v>904.21212872154899</v>
      </c>
      <c r="AG45" s="111">
        <f t="shared" si="12"/>
        <v>954.57744233518326</v>
      </c>
      <c r="AH45" s="111">
        <f t="shared" si="12"/>
        <v>1005.078810259535</v>
      </c>
      <c r="AI45" s="111">
        <f t="shared" si="12"/>
        <v>1055.7128087287872</v>
      </c>
      <c r="AJ45" s="111">
        <f t="shared" si="12"/>
        <v>1106.4759751979916</v>
      </c>
      <c r="AK45" s="111">
        <f t="shared" si="12"/>
        <v>1157.3648078066228</v>
      </c>
    </row>
    <row r="46" spans="1:37" ht="15" customHeight="1" x14ac:dyDescent="0.2">
      <c r="A46" t="s">
        <v>447</v>
      </c>
      <c r="B46" s="112">
        <v>3.5000000000000003E-2</v>
      </c>
      <c r="C46" s="112">
        <v>1.2500000000000001E-2</v>
      </c>
      <c r="D46" s="111">
        <f t="shared" ref="D46:AK46" si="13">D23+D29</f>
        <v>9.2515500000000017</v>
      </c>
      <c r="E46" s="111">
        <f t="shared" si="13"/>
        <v>20.219553288000004</v>
      </c>
      <c r="F46" s="111">
        <f t="shared" si="13"/>
        <v>32.942189136510009</v>
      </c>
      <c r="G46" s="111">
        <f t="shared" si="13"/>
        <v>47.45826744682185</v>
      </c>
      <c r="H46" s="111">
        <f t="shared" si="13"/>
        <v>63.807237743758748</v>
      </c>
      <c r="I46" s="111">
        <f t="shared" si="13"/>
        <v>82.029198289528011</v>
      </c>
      <c r="J46" s="111">
        <f t="shared" si="13"/>
        <v>101.10764479812832</v>
      </c>
      <c r="K46" s="111">
        <f t="shared" si="13"/>
        <v>121.05913126919978</v>
      </c>
      <c r="L46" s="111">
        <f t="shared" si="13"/>
        <v>141.90047041466013</v>
      </c>
      <c r="M46" s="111">
        <f t="shared" si="13"/>
        <v>163.64873725736948</v>
      </c>
      <c r="N46" s="111">
        <f t="shared" si="13"/>
        <v>192.81823528446353</v>
      </c>
      <c r="O46" s="111">
        <f t="shared" si="13"/>
        <v>223.18158830204152</v>
      </c>
      <c r="P46" s="111">
        <f t="shared" si="13"/>
        <v>254.76058614498055</v>
      </c>
      <c r="Q46" s="111">
        <f t="shared" si="13"/>
        <v>287.57735686115348</v>
      </c>
      <c r="R46" s="111">
        <f t="shared" si="13"/>
        <v>321.6543713487261</v>
      </c>
      <c r="S46" s="111">
        <f t="shared" si="13"/>
        <v>357.01444805419544</v>
      </c>
      <c r="T46" s="111">
        <f t="shared" si="13"/>
        <v>393.61137110694199</v>
      </c>
      <c r="U46" s="111">
        <f t="shared" si="13"/>
        <v>431.45631539111162</v>
      </c>
      <c r="V46" s="111">
        <f t="shared" si="13"/>
        <v>470.56062410849273</v>
      </c>
      <c r="W46" s="111">
        <f t="shared" si="13"/>
        <v>510.93581045037911</v>
      </c>
      <c r="X46" s="111">
        <f t="shared" si="13"/>
        <v>556.71360744181845</v>
      </c>
      <c r="Y46" s="111">
        <f t="shared" si="13"/>
        <v>603.74136278069443</v>
      </c>
      <c r="Z46" s="111">
        <f t="shared" si="13"/>
        <v>652.0348986719705</v>
      </c>
      <c r="AA46" s="111">
        <f t="shared" si="13"/>
        <v>701.6102759998937</v>
      </c>
      <c r="AB46" s="111">
        <f t="shared" si="13"/>
        <v>752.48379721523077</v>
      </c>
      <c r="AC46" s="111">
        <f t="shared" si="13"/>
        <v>804.67200926021599</v>
      </c>
      <c r="AD46" s="111">
        <f t="shared" si="13"/>
        <v>858.19170653167646</v>
      </c>
      <c r="AE46" s="111">
        <f t="shared" si="13"/>
        <v>913.05993388280967</v>
      </c>
      <c r="AF46" s="111">
        <f t="shared" si="13"/>
        <v>969.29398966408894</v>
      </c>
      <c r="AG46" s="111">
        <f t="shared" si="13"/>
        <v>1026.9114288037824</v>
      </c>
      <c r="AH46" s="111">
        <f t="shared" si="13"/>
        <v>1085.1871981954366</v>
      </c>
      <c r="AI46" s="111">
        <f t="shared" si="13"/>
        <v>1144.1267268910367</v>
      </c>
      <c r="AJ46" s="111">
        <f t="shared" si="13"/>
        <v>1203.7354961840274</v>
      </c>
      <c r="AK46" s="111">
        <f t="shared" si="13"/>
        <v>1264.0190400123674</v>
      </c>
    </row>
    <row r="47" spans="1:37" ht="15" customHeight="1" x14ac:dyDescent="0.2">
      <c r="A47" t="s">
        <v>448</v>
      </c>
      <c r="B47" s="112">
        <v>3.5000000000000003E-2</v>
      </c>
      <c r="C47" s="112">
        <v>2.5000000000000001E-2</v>
      </c>
      <c r="D47" s="111">
        <f t="shared" ref="D47:AK47" si="14">D24+D29</f>
        <v>9.2515500000000017</v>
      </c>
      <c r="E47" s="111">
        <f t="shared" si="14"/>
        <v>20.296649538000004</v>
      </c>
      <c r="F47" s="111">
        <f t="shared" si="14"/>
        <v>33.190480032660005</v>
      </c>
      <c r="G47" s="111">
        <f t="shared" si="14"/>
        <v>47.989734001235099</v>
      </c>
      <c r="H47" s="111">
        <f t="shared" si="14"/>
        <v>64.752653473499564</v>
      </c>
      <c r="I47" s="111">
        <f t="shared" si="14"/>
        <v>83.539069371620684</v>
      </c>
      <c r="J47" s="111">
        <f t="shared" si="14"/>
        <v>103.35318136007407</v>
      </c>
      <c r="K47" s="111">
        <f t="shared" si="14"/>
        <v>124.22444020337949</v>
      </c>
      <c r="L47" s="111">
        <f t="shared" si="14"/>
        <v>146.18307602781854</v>
      </c>
      <c r="M47" s="111">
        <f t="shared" si="14"/>
        <v>169.26011801966951</v>
      </c>
      <c r="N47" s="111">
        <f t="shared" si="14"/>
        <v>199.98437712519234</v>
      </c>
      <c r="O47" s="111">
        <f t="shared" si="14"/>
        <v>232.22476694215487</v>
      </c>
      <c r="P47" s="111">
        <f t="shared" si="14"/>
        <v>266.02392284018691</v>
      </c>
      <c r="Q47" s="111">
        <f t="shared" si="14"/>
        <v>301.42560246176458</v>
      </c>
      <c r="R47" s="111">
        <f t="shared" si="14"/>
        <v>338.47471403608074</v>
      </c>
      <c r="S47" s="111">
        <f t="shared" si="14"/>
        <v>377.21734540311451</v>
      </c>
      <c r="T47" s="111">
        <f t="shared" si="14"/>
        <v>417.66995526566376</v>
      </c>
      <c r="U47" s="111">
        <f t="shared" si="14"/>
        <v>459.87520498409106</v>
      </c>
      <c r="V47" s="111">
        <f t="shared" si="14"/>
        <v>503.87686269044178</v>
      </c>
      <c r="W47" s="111">
        <f t="shared" si="14"/>
        <v>549.71983084630062</v>
      </c>
      <c r="X47" s="111">
        <f t="shared" si="14"/>
        <v>601.5702226416962</v>
      </c>
      <c r="Y47" s="111">
        <f t="shared" si="14"/>
        <v>655.46528588015008</v>
      </c>
      <c r="Z47" s="111">
        <f t="shared" si="14"/>
        <v>711.45842463620238</v>
      </c>
      <c r="AA47" s="111">
        <f t="shared" si="14"/>
        <v>769.60442768261169</v>
      </c>
      <c r="AB47" s="111">
        <f t="shared" si="14"/>
        <v>829.95950316212588</v>
      </c>
      <c r="AC47" s="111">
        <f t="shared" si="14"/>
        <v>892.5813141280596</v>
      </c>
      <c r="AD47" s="111">
        <f t="shared" si="14"/>
        <v>957.52901497539824</v>
      </c>
      <c r="AE47" s="111">
        <f t="shared" si="14"/>
        <v>1024.8632887846957</v>
      </c>
      <c r="AF47" s="111">
        <f t="shared" si="14"/>
        <v>1094.6463856015846</v>
      </c>
      <c r="AG47" s="111">
        <f t="shared" si="14"/>
        <v>1166.9421616752925</v>
      </c>
      <c r="AH47" s="111">
        <f t="shared" si="14"/>
        <v>1241.0732519470002</v>
      </c>
      <c r="AI47" s="111">
        <f t="shared" si="14"/>
        <v>1317.08491246417</v>
      </c>
      <c r="AJ47" s="111">
        <f t="shared" si="14"/>
        <v>1395.0235251181141</v>
      </c>
      <c r="AK47" s="111">
        <f t="shared" si="14"/>
        <v>1474.9366256944372</v>
      </c>
    </row>
    <row r="48" spans="1:37" ht="15" customHeight="1" x14ac:dyDescent="0.2">
      <c r="A48" t="s">
        <v>449</v>
      </c>
      <c r="B48" s="112">
        <v>3.5000000000000003E-2</v>
      </c>
      <c r="C48" s="112">
        <v>0.04</v>
      </c>
      <c r="D48" s="111">
        <f t="shared" ref="D48:AK48" si="15">D25+D29</f>
        <v>9.2515500000000017</v>
      </c>
      <c r="E48" s="111">
        <f t="shared" si="15"/>
        <v>20.389165038000002</v>
      </c>
      <c r="F48" s="111">
        <f t="shared" si="15"/>
        <v>33.490973284290007</v>
      </c>
      <c r="G48" s="111">
        <f t="shared" si="15"/>
        <v>48.638333409403963</v>
      </c>
      <c r="H48" s="111">
        <f t="shared" si="15"/>
        <v>65.915963870072048</v>
      </c>
      <c r="I48" s="111">
        <f t="shared" si="15"/>
        <v>85.412077370932224</v>
      </c>
      <c r="J48" s="111">
        <f t="shared" si="15"/>
        <v>106.16126018895038</v>
      </c>
      <c r="K48" s="111">
        <f t="shared" si="15"/>
        <v>128.21488598366241</v>
      </c>
      <c r="L48" s="111">
        <f t="shared" si="15"/>
        <v>151.6264160200746</v>
      </c>
      <c r="M48" s="111">
        <f t="shared" si="15"/>
        <v>176.45148270638839</v>
      </c>
      <c r="N48" s="111">
        <f t="shared" si="15"/>
        <v>209.24493898205998</v>
      </c>
      <c r="O48" s="111">
        <f t="shared" si="15"/>
        <v>244.00070330494776</v>
      </c>
      <c r="P48" s="111">
        <f t="shared" si="15"/>
        <v>280.7994386440015</v>
      </c>
      <c r="Q48" s="111">
        <f t="shared" si="15"/>
        <v>319.72507953378948</v>
      </c>
      <c r="R48" s="111">
        <f t="shared" si="15"/>
        <v>360.86496301106973</v>
      </c>
      <c r="S48" s="111">
        <f t="shared" si="15"/>
        <v>404.30996479067005</v>
      </c>
      <c r="T48" s="111">
        <f t="shared" si="15"/>
        <v>450.170060140251</v>
      </c>
      <c r="U48" s="111">
        <f t="shared" si="15"/>
        <v>498.5468018123903</v>
      </c>
      <c r="V48" s="111">
        <f t="shared" si="15"/>
        <v>549.54585883474192</v>
      </c>
      <c r="W48" s="111">
        <f t="shared" si="15"/>
        <v>603.27718143441041</v>
      </c>
      <c r="X48" s="111">
        <f t="shared" si="15"/>
        <v>663.97522071213916</v>
      </c>
      <c r="Y48" s="111">
        <f t="shared" si="15"/>
        <v>727.93440412490634</v>
      </c>
      <c r="Z48" s="111">
        <f t="shared" si="15"/>
        <v>795.28997220198858</v>
      </c>
      <c r="AA48" s="111">
        <f t="shared" si="15"/>
        <v>866.18263512374938</v>
      </c>
      <c r="AB48" s="111">
        <f t="shared" si="15"/>
        <v>940.75879174268096</v>
      </c>
      <c r="AC48" s="111">
        <f t="shared" si="15"/>
        <v>1019.1707573677719</v>
      </c>
      <c r="AD48" s="111">
        <f t="shared" si="15"/>
        <v>1101.5770006627354</v>
      </c>
      <c r="AE48" s="111">
        <f t="shared" si="15"/>
        <v>1188.1423900226678</v>
      </c>
      <c r="AF48" s="111">
        <f t="shared" si="15"/>
        <v>1279.0384498082792</v>
      </c>
      <c r="AG48" s="111">
        <f t="shared" si="15"/>
        <v>1374.4436268320101</v>
      </c>
      <c r="AH48" s="111">
        <f t="shared" si="15"/>
        <v>1473.8006997729781</v>
      </c>
      <c r="AI48" s="111">
        <f t="shared" si="15"/>
        <v>1577.2697255827973</v>
      </c>
      <c r="AJ48" s="111">
        <f t="shared" si="15"/>
        <v>1685.0171700110336</v>
      </c>
      <c r="AK48" s="111">
        <f t="shared" si="15"/>
        <v>1797.216164046642</v>
      </c>
    </row>
    <row r="50" spans="1:37" ht="15" customHeight="1" x14ac:dyDescent="0.2">
      <c r="A50" s="110" t="s">
        <v>455</v>
      </c>
    </row>
    <row r="51" spans="1:37" ht="15" customHeight="1" x14ac:dyDescent="0.2">
      <c r="A51" s="110" t="s">
        <v>494</v>
      </c>
    </row>
    <row r="52" spans="1:37" ht="15" customHeight="1" x14ac:dyDescent="0.2">
      <c r="D52">
        <v>2027</v>
      </c>
      <c r="E52">
        <v>2028</v>
      </c>
      <c r="F52">
        <v>2029</v>
      </c>
      <c r="G52">
        <v>2030</v>
      </c>
      <c r="H52">
        <v>2031</v>
      </c>
      <c r="I52">
        <v>2032</v>
      </c>
      <c r="J52">
        <v>2033</v>
      </c>
      <c r="K52">
        <v>2034</v>
      </c>
      <c r="L52">
        <v>2035</v>
      </c>
      <c r="M52">
        <v>2036</v>
      </c>
      <c r="N52">
        <v>2037</v>
      </c>
      <c r="O52">
        <v>2038</v>
      </c>
      <c r="P52">
        <v>2039</v>
      </c>
      <c r="Q52">
        <v>2040</v>
      </c>
      <c r="R52">
        <v>2041</v>
      </c>
      <c r="S52">
        <v>2042</v>
      </c>
      <c r="T52">
        <v>2043</v>
      </c>
      <c r="U52">
        <v>2044</v>
      </c>
      <c r="V52">
        <v>2045</v>
      </c>
      <c r="W52">
        <v>2046</v>
      </c>
      <c r="X52">
        <v>2047</v>
      </c>
      <c r="Y52">
        <v>2048</v>
      </c>
      <c r="Z52">
        <v>2049</v>
      </c>
      <c r="AA52">
        <v>2050</v>
      </c>
      <c r="AB52">
        <v>2051</v>
      </c>
      <c r="AC52">
        <v>2052</v>
      </c>
      <c r="AD52">
        <v>2053</v>
      </c>
      <c r="AE52">
        <v>2054</v>
      </c>
      <c r="AF52">
        <v>2055</v>
      </c>
      <c r="AG52">
        <v>2056</v>
      </c>
      <c r="AH52">
        <v>2057</v>
      </c>
      <c r="AI52">
        <v>2058</v>
      </c>
      <c r="AJ52">
        <v>2059</v>
      </c>
      <c r="AK52">
        <v>2060</v>
      </c>
    </row>
    <row r="53" spans="1:37" ht="15" customHeight="1" x14ac:dyDescent="0.2">
      <c r="A53" t="s">
        <v>456</v>
      </c>
      <c r="B53" t="s">
        <v>453</v>
      </c>
      <c r="C53" t="s">
        <v>453</v>
      </c>
      <c r="D53" s="111">
        <f t="shared" ref="D53:AK53" si="16">D29</f>
        <v>3.0838500000000004</v>
      </c>
      <c r="E53" s="111">
        <f t="shared" si="16"/>
        <v>6.6781740960000011</v>
      </c>
      <c r="F53" s="111">
        <f t="shared" si="16"/>
        <v>10.784718267750002</v>
      </c>
      <c r="G53" s="111">
        <f t="shared" si="16"/>
        <v>15.405266529443701</v>
      </c>
      <c r="H53" s="111">
        <f t="shared" si="16"/>
        <v>20.541641015090082</v>
      </c>
      <c r="I53" s="111">
        <f t="shared" si="16"/>
        <v>26.195702065467664</v>
      </c>
      <c r="J53" s="111">
        <f t="shared" si="16"/>
        <v>32.01692814330373</v>
      </c>
      <c r="K53" s="111">
        <f t="shared" si="16"/>
        <v>38.006014819260571</v>
      </c>
      <c r="L53" s="111">
        <f t="shared" si="16"/>
        <v>44.163669709647898</v>
      </c>
      <c r="M53" s="111">
        <f t="shared" si="16"/>
        <v>50.490612507667578</v>
      </c>
      <c r="N53" s="111">
        <f t="shared" si="16"/>
        <v>56.987575015156182</v>
      </c>
      <c r="O53" s="111">
        <f t="shared" si="16"/>
        <v>63.655301174826477</v>
      </c>
      <c r="P53" s="111">
        <f t="shared" si="16"/>
        <v>70.494547103008969</v>
      </c>
      <c r="Q53" s="111">
        <f t="shared" si="16"/>
        <v>77.506081122894699</v>
      </c>
      <c r="R53" s="111">
        <f t="shared" si="16"/>
        <v>84.690683798280475</v>
      </c>
      <c r="S53" s="111">
        <f t="shared" si="16"/>
        <v>88.965297967817705</v>
      </c>
      <c r="T53" s="111">
        <f t="shared" si="16"/>
        <v>92.904104683766022</v>
      </c>
      <c r="U53" s="111">
        <f t="shared" si="16"/>
        <v>96.506175459503055</v>
      </c>
      <c r="V53" s="111">
        <f t="shared" si="16"/>
        <v>99.770556154597728</v>
      </c>
      <c r="W53" s="111">
        <f t="shared" si="16"/>
        <v>102.69626692571428</v>
      </c>
      <c r="X53" s="111">
        <f t="shared" si="16"/>
        <v>97.042205875336691</v>
      </c>
      <c r="Y53" s="111">
        <f t="shared" si="16"/>
        <v>91.220979797500632</v>
      </c>
      <c r="Z53" s="111">
        <f t="shared" si="16"/>
        <v>85.231893121543791</v>
      </c>
      <c r="AA53" s="111">
        <f t="shared" si="16"/>
        <v>79.074238231156471</v>
      </c>
      <c r="AB53" s="111">
        <f t="shared" si="16"/>
        <v>72.747295433136784</v>
      </c>
      <c r="AC53" s="111">
        <f t="shared" si="16"/>
        <v>66.250332925648181</v>
      </c>
      <c r="AD53" s="111">
        <f t="shared" si="16"/>
        <v>59.582606765977886</v>
      </c>
      <c r="AE53" s="111">
        <f t="shared" si="16"/>
        <v>52.743360837795393</v>
      </c>
      <c r="AF53" s="111">
        <f t="shared" si="16"/>
        <v>45.731826817909663</v>
      </c>
      <c r="AG53" s="111">
        <f t="shared" si="16"/>
        <v>38.547224142523888</v>
      </c>
      <c r="AH53" s="111">
        <f t="shared" si="16"/>
        <v>31.188759972986659</v>
      </c>
      <c r="AI53" s="111">
        <f t="shared" si="16"/>
        <v>23.655629161038334</v>
      </c>
      <c r="AJ53" s="111">
        <f t="shared" si="16"/>
        <v>15.947014213551299</v>
      </c>
      <c r="AK53" s="111">
        <f t="shared" si="16"/>
        <v>8.0620852567629413</v>
      </c>
    </row>
    <row r="55" spans="1:37" ht="15" customHeight="1" x14ac:dyDescent="0.2">
      <c r="A55" s="110" t="s">
        <v>457</v>
      </c>
    </row>
    <row r="56" spans="1:37" ht="15" customHeight="1" x14ac:dyDescent="0.2">
      <c r="D56">
        <v>2027</v>
      </c>
      <c r="E56">
        <v>2028</v>
      </c>
      <c r="F56">
        <v>2029</v>
      </c>
      <c r="G56">
        <v>2030</v>
      </c>
      <c r="H56">
        <v>2031</v>
      </c>
      <c r="I56">
        <v>2032</v>
      </c>
      <c r="J56">
        <v>2033</v>
      </c>
      <c r="K56">
        <v>2034</v>
      </c>
      <c r="L56">
        <v>2035</v>
      </c>
      <c r="M56">
        <v>2036</v>
      </c>
      <c r="N56">
        <v>2037</v>
      </c>
      <c r="O56">
        <v>2038</v>
      </c>
      <c r="P56">
        <v>2039</v>
      </c>
      <c r="Q56">
        <v>2040</v>
      </c>
      <c r="R56">
        <v>2041</v>
      </c>
      <c r="S56">
        <v>2042</v>
      </c>
      <c r="T56">
        <v>2043</v>
      </c>
      <c r="U56">
        <v>2044</v>
      </c>
      <c r="V56">
        <v>2045</v>
      </c>
      <c r="W56">
        <v>2046</v>
      </c>
      <c r="X56">
        <v>2047</v>
      </c>
      <c r="Y56">
        <v>2048</v>
      </c>
      <c r="Z56">
        <v>2049</v>
      </c>
      <c r="AA56">
        <v>2050</v>
      </c>
      <c r="AB56">
        <v>2051</v>
      </c>
      <c r="AC56">
        <v>2052</v>
      </c>
      <c r="AD56">
        <v>2053</v>
      </c>
      <c r="AE56">
        <v>2054</v>
      </c>
      <c r="AF56">
        <v>2055</v>
      </c>
      <c r="AG56">
        <v>2056</v>
      </c>
      <c r="AH56">
        <v>2057</v>
      </c>
      <c r="AI56">
        <v>2058</v>
      </c>
      <c r="AJ56">
        <v>2059</v>
      </c>
      <c r="AK56">
        <v>2060</v>
      </c>
    </row>
    <row r="57" spans="1:37" ht="15" customHeight="1" x14ac:dyDescent="0.2">
      <c r="A57" t="s">
        <v>458</v>
      </c>
      <c r="B57" s="112">
        <v>7.4999999999999997E-3</v>
      </c>
      <c r="C57" t="s">
        <v>453</v>
      </c>
      <c r="D57" s="111">
        <v>0</v>
      </c>
      <c r="E57" s="111">
        <f>Modello_Pess!AH5*$B57</f>
        <v>2.3128875000000004E-2</v>
      </c>
      <c r="F57" s="111">
        <f>Modello_Pess!AH6*$B57</f>
        <v>5.0086305720000009E-2</v>
      </c>
      <c r="G57" s="111">
        <f>Modello_Pess!AH7*$B57</f>
        <v>8.0885387008125004E-2</v>
      </c>
      <c r="H57" s="111">
        <f>Modello_Pess!AH8*$B57</f>
        <v>0.11553949897082776</v>
      </c>
      <c r="I57" s="111">
        <f>Modello_Pess!AH9*$B57</f>
        <v>0.1540623076131756</v>
      </c>
      <c r="J57" s="111">
        <f>Modello_Pess!AH10*$B57</f>
        <v>0.19646776549100747</v>
      </c>
      <c r="K57" s="111">
        <f>Modello_Pess!AH11*$B57</f>
        <v>0.24012696107477796</v>
      </c>
      <c r="L57" s="111">
        <f>Modello_Pess!AH12*$B57</f>
        <v>0.28504511114445424</v>
      </c>
      <c r="M57" s="111">
        <f>Modello_Pess!AH13*$B57</f>
        <v>0.33122752282235923</v>
      </c>
      <c r="N57" s="111">
        <f>Modello_Pess!AH14*$B57</f>
        <v>0.37867959380750682</v>
      </c>
      <c r="O57" s="111">
        <f>Modello_Pess!AH15*$B57</f>
        <v>0.42740681261367136</v>
      </c>
      <c r="P57" s="111">
        <f>Modello_Pess!AH16*$B57</f>
        <v>0.47741475881119855</v>
      </c>
      <c r="Q57" s="111">
        <f>Modello_Pess!AH17*$B57</f>
        <v>0.52870910327256726</v>
      </c>
      <c r="R57" s="111">
        <f>Modello_Pess!AH18*$B57</f>
        <v>0.58129560842171024</v>
      </c>
      <c r="S57" s="111">
        <f>Modello_Pess!AH19*$B57</f>
        <v>0.63518012848710359</v>
      </c>
      <c r="T57" s="111">
        <f>Modello_Pess!AH20*$B57</f>
        <v>0.66723973475863274</v>
      </c>
      <c r="U57" s="111">
        <f>Modello_Pess!AH21*$B57</f>
        <v>0.69678078512824515</v>
      </c>
      <c r="V57" s="111">
        <f>Modello_Pess!AH22*$B57</f>
        <v>0.72379631594627292</v>
      </c>
      <c r="W57" s="111">
        <f>Modello_Pess!AH23*$B57</f>
        <v>0.74827917115948295</v>
      </c>
      <c r="X57" s="111">
        <f>Modello_Pess!AH24*$B57</f>
        <v>0.77022200194285706</v>
      </c>
      <c r="Y57" s="111">
        <f>Modello_Pess!AH25*$B57</f>
        <v>0.72781654406502516</v>
      </c>
      <c r="Z57" s="111">
        <f>Modello_Pess!AH26*$B57</f>
        <v>0.68415734848125476</v>
      </c>
      <c r="AA57" s="111">
        <f>Modello_Pess!AH27*$B57</f>
        <v>0.63923919841157839</v>
      </c>
      <c r="AB57" s="111">
        <f>Modello_Pess!AH28*$B57</f>
        <v>0.59305678673367346</v>
      </c>
      <c r="AC57" s="111">
        <f>Modello_Pess!AH29*$B57</f>
        <v>0.54560471574852587</v>
      </c>
      <c r="AD57" s="111">
        <f>Modello_Pess!AH30*$B57</f>
        <v>0.49687749694236133</v>
      </c>
      <c r="AE57" s="111">
        <f>Modello_Pess!AH31*$B57</f>
        <v>0.44686955074483414</v>
      </c>
      <c r="AF57" s="111">
        <f>Modello_Pess!AH32*$B57</f>
        <v>0.39557520628346543</v>
      </c>
      <c r="AG57" s="111">
        <f>Modello_Pess!AH33*$B57</f>
        <v>0.34298870113432245</v>
      </c>
      <c r="AH57" s="111">
        <f>Modello_Pess!AH34*$B57</f>
        <v>0.28910418106892916</v>
      </c>
      <c r="AI57" s="111">
        <f>Modello_Pess!AH35*$B57</f>
        <v>0.23391569979739993</v>
      </c>
      <c r="AJ57" s="111">
        <f>Modello_Pess!AH36*$B57</f>
        <v>0.17741721870778751</v>
      </c>
      <c r="AK57" s="111">
        <f>Modello_Pess!AH37*$B57</f>
        <v>0.11960260660163474</v>
      </c>
    </row>
    <row r="58" spans="1:37" ht="15" customHeight="1" x14ac:dyDescent="0.2">
      <c r="A58" t="s">
        <v>459</v>
      </c>
      <c r="B58" s="112">
        <v>1.4999999999999999E-2</v>
      </c>
      <c r="C58" t="s">
        <v>453</v>
      </c>
      <c r="D58" s="111">
        <v>0</v>
      </c>
      <c r="E58" s="111">
        <f>Modello_Pess!AH5*$B58</f>
        <v>4.6257750000000007E-2</v>
      </c>
      <c r="F58" s="111">
        <f>Modello_Pess!AH6*$B58</f>
        <v>0.10017261144000002</v>
      </c>
      <c r="G58" s="111">
        <f>Modello_Pess!AH7*$B58</f>
        <v>0.16177077401625001</v>
      </c>
      <c r="H58" s="111">
        <f>Modello_Pess!AH8*$B58</f>
        <v>0.23107899794165551</v>
      </c>
      <c r="I58" s="111">
        <f>Modello_Pess!AH9*$B58</f>
        <v>0.30812461522635121</v>
      </c>
      <c r="J58" s="111">
        <f>Modello_Pess!AH10*$B58</f>
        <v>0.39293553098201495</v>
      </c>
      <c r="K58" s="111">
        <f>Modello_Pess!AH11*$B58</f>
        <v>0.48025392214955592</v>
      </c>
      <c r="L58" s="111">
        <f>Modello_Pess!AH12*$B58</f>
        <v>0.57009022228890849</v>
      </c>
      <c r="M58" s="111">
        <f>Modello_Pess!AH13*$B58</f>
        <v>0.66245504564471847</v>
      </c>
      <c r="N58" s="111">
        <f>Modello_Pess!AH14*$B58</f>
        <v>0.75735918761501364</v>
      </c>
      <c r="O58" s="111">
        <f>Modello_Pess!AH15*$B58</f>
        <v>0.85481362522734272</v>
      </c>
      <c r="P58" s="111">
        <f>Modello_Pess!AH16*$B58</f>
        <v>0.95482951762239709</v>
      </c>
      <c r="Q58" s="111">
        <f>Modello_Pess!AH17*$B58</f>
        <v>1.0574182065451345</v>
      </c>
      <c r="R58" s="111">
        <f>Modello_Pess!AH18*$B58</f>
        <v>1.1625912168434205</v>
      </c>
      <c r="S58" s="111">
        <f>Modello_Pess!AH19*$B58</f>
        <v>1.2703602569742072</v>
      </c>
      <c r="T58" s="111">
        <f>Modello_Pess!AH20*$B58</f>
        <v>1.3344794695172655</v>
      </c>
      <c r="U58" s="111">
        <f>Modello_Pess!AH21*$B58</f>
        <v>1.3935615702564903</v>
      </c>
      <c r="V58" s="111">
        <f>Modello_Pess!AH22*$B58</f>
        <v>1.4475926318925458</v>
      </c>
      <c r="W58" s="111">
        <f>Modello_Pess!AH23*$B58</f>
        <v>1.4965583423189659</v>
      </c>
      <c r="X58" s="111">
        <f>Modello_Pess!AH24*$B58</f>
        <v>1.5404440038857141</v>
      </c>
      <c r="Y58" s="111">
        <f>Modello_Pess!AH25*$B58</f>
        <v>1.4556330881300503</v>
      </c>
      <c r="Z58" s="111">
        <f>Modello_Pess!AH26*$B58</f>
        <v>1.3683146969625095</v>
      </c>
      <c r="AA58" s="111">
        <f>Modello_Pess!AH27*$B58</f>
        <v>1.2784783968231568</v>
      </c>
      <c r="AB58" s="111">
        <f>Modello_Pess!AH28*$B58</f>
        <v>1.1861135734673469</v>
      </c>
      <c r="AC58" s="111">
        <f>Modello_Pess!AH29*$B58</f>
        <v>1.0912094314970517</v>
      </c>
      <c r="AD58" s="111">
        <f>Modello_Pess!AH30*$B58</f>
        <v>0.99375499388472266</v>
      </c>
      <c r="AE58" s="111">
        <f>Modello_Pess!AH31*$B58</f>
        <v>0.89373910148966829</v>
      </c>
      <c r="AF58" s="111">
        <f>Modello_Pess!AH32*$B58</f>
        <v>0.79115041256693086</v>
      </c>
      <c r="AG58" s="111">
        <f>Modello_Pess!AH33*$B58</f>
        <v>0.6859774022686449</v>
      </c>
      <c r="AH58" s="111">
        <f>Modello_Pess!AH34*$B58</f>
        <v>0.57820836213785831</v>
      </c>
      <c r="AI58" s="111">
        <f>Modello_Pess!AH35*$B58</f>
        <v>0.46783139959479986</v>
      </c>
      <c r="AJ58" s="111">
        <f>Modello_Pess!AH36*$B58</f>
        <v>0.35483443741557502</v>
      </c>
      <c r="AK58" s="111">
        <f>Modello_Pess!AH37*$B58</f>
        <v>0.23920521320326948</v>
      </c>
    </row>
    <row r="59" spans="1:37" ht="15" customHeight="1" x14ac:dyDescent="0.2">
      <c r="A59" t="s">
        <v>460</v>
      </c>
      <c r="B59" s="112">
        <v>2.5000000000000001E-2</v>
      </c>
      <c r="C59" t="s">
        <v>453</v>
      </c>
      <c r="D59" s="111">
        <v>0</v>
      </c>
      <c r="E59" s="111">
        <f>Modello_Pess!AH5*$B59</f>
        <v>7.7096250000000019E-2</v>
      </c>
      <c r="F59" s="111">
        <f>Modello_Pess!AH6*$B59</f>
        <v>0.16695435240000003</v>
      </c>
      <c r="G59" s="111">
        <f>Modello_Pess!AH7*$B59</f>
        <v>0.26961795669375005</v>
      </c>
      <c r="H59" s="111">
        <f>Modello_Pess!AH8*$B59</f>
        <v>0.38513166323609255</v>
      </c>
      <c r="I59" s="111">
        <f>Modello_Pess!AH9*$B59</f>
        <v>0.5135410253772521</v>
      </c>
      <c r="J59" s="111">
        <f>Modello_Pess!AH10*$B59</f>
        <v>0.65489255163669169</v>
      </c>
      <c r="K59" s="111">
        <f>Modello_Pess!AH11*$B59</f>
        <v>0.80042320358259333</v>
      </c>
      <c r="L59" s="111">
        <f>Modello_Pess!AH12*$B59</f>
        <v>0.95015037048151429</v>
      </c>
      <c r="M59" s="111">
        <f>Modello_Pess!AH13*$B59</f>
        <v>1.1040917427411976</v>
      </c>
      <c r="N59" s="111">
        <f>Modello_Pess!AH14*$B59</f>
        <v>1.2622653126916896</v>
      </c>
      <c r="O59" s="111">
        <f>Modello_Pess!AH15*$B59</f>
        <v>1.4246893753789047</v>
      </c>
      <c r="P59" s="111">
        <f>Modello_Pess!AH16*$B59</f>
        <v>1.591382529370662</v>
      </c>
      <c r="Q59" s="111">
        <f>Modello_Pess!AH17*$B59</f>
        <v>1.7623636775752243</v>
      </c>
      <c r="R59" s="111">
        <f>Modello_Pess!AH18*$B59</f>
        <v>1.9376520280723675</v>
      </c>
      <c r="S59" s="111">
        <f>Modello_Pess!AH19*$B59</f>
        <v>2.117267094957012</v>
      </c>
      <c r="T59" s="111">
        <f>Modello_Pess!AH20*$B59</f>
        <v>2.2241324491954426</v>
      </c>
      <c r="U59" s="111">
        <f>Modello_Pess!AH21*$B59</f>
        <v>2.3226026170941507</v>
      </c>
      <c r="V59" s="111">
        <f>Modello_Pess!AH22*$B59</f>
        <v>2.4126543864875765</v>
      </c>
      <c r="W59" s="111">
        <f>Modello_Pess!AH23*$B59</f>
        <v>2.4942639038649435</v>
      </c>
      <c r="X59" s="111">
        <f>Modello_Pess!AH24*$B59</f>
        <v>2.5674066731428571</v>
      </c>
      <c r="Y59" s="111">
        <f>Modello_Pess!AH25*$B59</f>
        <v>2.4260551468834173</v>
      </c>
      <c r="Z59" s="111">
        <f>Modello_Pess!AH26*$B59</f>
        <v>2.2805244949375161</v>
      </c>
      <c r="AA59" s="111">
        <f>Modello_Pess!AH27*$B59</f>
        <v>2.1307973280385948</v>
      </c>
      <c r="AB59" s="111">
        <f>Modello_Pess!AH28*$B59</f>
        <v>1.9768559557789118</v>
      </c>
      <c r="AC59" s="111">
        <f>Modello_Pess!AH29*$B59</f>
        <v>1.8186823858284198</v>
      </c>
      <c r="AD59" s="111">
        <f>Modello_Pess!AH30*$B59</f>
        <v>1.6562583231412047</v>
      </c>
      <c r="AE59" s="111">
        <f>Modello_Pess!AH31*$B59</f>
        <v>1.4895651691494471</v>
      </c>
      <c r="AF59" s="111">
        <f>Modello_Pess!AH32*$B59</f>
        <v>1.3185840209448849</v>
      </c>
      <c r="AG59" s="111">
        <f>Modello_Pess!AH33*$B59</f>
        <v>1.1432956704477417</v>
      </c>
      <c r="AH59" s="111">
        <f>Modello_Pess!AH34*$B59</f>
        <v>0.96368060356309726</v>
      </c>
      <c r="AI59" s="111">
        <f>Modello_Pess!AH35*$B59</f>
        <v>0.77971899932466648</v>
      </c>
      <c r="AJ59" s="111">
        <f>Modello_Pess!AH36*$B59</f>
        <v>0.59139072902595835</v>
      </c>
      <c r="AK59" s="111">
        <f>Modello_Pess!AH37*$B59</f>
        <v>0.39867535533878251</v>
      </c>
    </row>
    <row r="60" spans="1:37" ht="15" customHeight="1" x14ac:dyDescent="0.2">
      <c r="A60" t="s">
        <v>461</v>
      </c>
      <c r="B60" s="112">
        <v>3.5000000000000003E-2</v>
      </c>
      <c r="C60" t="s">
        <v>453</v>
      </c>
      <c r="D60" s="111">
        <v>0</v>
      </c>
      <c r="E60" s="111">
        <f>Modello_Pess!AH5*$B60</f>
        <v>0.10793475000000002</v>
      </c>
      <c r="F60" s="111">
        <f>Modello_Pess!AH6*$B60</f>
        <v>0.23373609336000006</v>
      </c>
      <c r="G60" s="111">
        <f>Modello_Pess!AH7*$B60</f>
        <v>0.37746513937125009</v>
      </c>
      <c r="H60" s="111">
        <f>Modello_Pess!AH8*$B60</f>
        <v>0.53918432853052956</v>
      </c>
      <c r="I60" s="111">
        <f>Modello_Pess!AH9*$B60</f>
        <v>0.71895743552815294</v>
      </c>
      <c r="J60" s="111">
        <f>Modello_Pess!AH10*$B60</f>
        <v>0.91684957229136832</v>
      </c>
      <c r="K60" s="111">
        <f>Modello_Pess!AH11*$B60</f>
        <v>1.1205924850156306</v>
      </c>
      <c r="L60" s="111">
        <f>Modello_Pess!AH12*$B60</f>
        <v>1.3302105186741202</v>
      </c>
      <c r="M60" s="111">
        <f>Modello_Pess!AH13*$B60</f>
        <v>1.5457284398376765</v>
      </c>
      <c r="N60" s="111">
        <f>Modello_Pess!AH14*$B60</f>
        <v>1.7671714377683654</v>
      </c>
      <c r="O60" s="111">
        <f>Modello_Pess!AH15*$B60</f>
        <v>1.9945651255304666</v>
      </c>
      <c r="P60" s="111">
        <f>Modello_Pess!AH16*$B60</f>
        <v>2.227935541118927</v>
      </c>
      <c r="Q60" s="111">
        <f>Modello_Pess!AH17*$B60</f>
        <v>2.467309148605314</v>
      </c>
      <c r="R60" s="111">
        <f>Modello_Pess!AH18*$B60</f>
        <v>2.7127128393013149</v>
      </c>
      <c r="S60" s="111">
        <f>Modello_Pess!AH19*$B60</f>
        <v>2.9641739329398167</v>
      </c>
      <c r="T60" s="111">
        <f>Modello_Pess!AH20*$B60</f>
        <v>3.1137854288736198</v>
      </c>
      <c r="U60" s="111">
        <f>Modello_Pess!AH21*$B60</f>
        <v>3.2516436639318109</v>
      </c>
      <c r="V60" s="111">
        <f>Modello_Pess!AH22*$B60</f>
        <v>3.3777161410826073</v>
      </c>
      <c r="W60" s="111">
        <f>Modello_Pess!AH23*$B60</f>
        <v>3.491969465410921</v>
      </c>
      <c r="X60" s="111">
        <f>Modello_Pess!AH24*$B60</f>
        <v>3.5943693424000003</v>
      </c>
      <c r="Y60" s="111">
        <f>Modello_Pess!AH25*$B60</f>
        <v>3.3964772056367845</v>
      </c>
      <c r="Z60" s="111">
        <f>Modello_Pess!AH26*$B60</f>
        <v>3.1927342929125224</v>
      </c>
      <c r="AA60" s="111">
        <f>Modello_Pess!AH27*$B60</f>
        <v>2.9831162592540328</v>
      </c>
      <c r="AB60" s="111">
        <f>Modello_Pess!AH28*$B60</f>
        <v>2.767598338090477</v>
      </c>
      <c r="AC60" s="111">
        <f>Modello_Pess!AH29*$B60</f>
        <v>2.5461553401597876</v>
      </c>
      <c r="AD60" s="111">
        <f>Modello_Pess!AH30*$B60</f>
        <v>2.3187616523976864</v>
      </c>
      <c r="AE60" s="111">
        <f>Modello_Pess!AH31*$B60</f>
        <v>2.085391236809226</v>
      </c>
      <c r="AF60" s="111">
        <f>Modello_Pess!AH32*$B60</f>
        <v>1.846017629322839</v>
      </c>
      <c r="AG60" s="111">
        <f>Modello_Pess!AH33*$B60</f>
        <v>1.6006139386268383</v>
      </c>
      <c r="AH60" s="111">
        <f>Modello_Pess!AH34*$B60</f>
        <v>1.3491528449883361</v>
      </c>
      <c r="AI60" s="111">
        <f>Modello_Pess!AH35*$B60</f>
        <v>1.0916065990545332</v>
      </c>
      <c r="AJ60" s="111">
        <f>Modello_Pess!AH36*$B60</f>
        <v>0.82794702063634174</v>
      </c>
      <c r="AK60" s="111">
        <f>Modello_Pess!AH37*$B60</f>
        <v>0.55814549747429554</v>
      </c>
    </row>
    <row r="62" spans="1:37" ht="15" customHeight="1" x14ac:dyDescent="0.2">
      <c r="A62" s="110" t="s">
        <v>462</v>
      </c>
    </row>
    <row r="63" spans="1:37" ht="15" customHeight="1" x14ac:dyDescent="0.2">
      <c r="D63">
        <v>2027</v>
      </c>
      <c r="E63">
        <v>2028</v>
      </c>
      <c r="F63">
        <v>2029</v>
      </c>
      <c r="G63">
        <v>2030</v>
      </c>
      <c r="H63">
        <v>2031</v>
      </c>
      <c r="I63">
        <v>2032</v>
      </c>
      <c r="J63">
        <v>2033</v>
      </c>
      <c r="K63">
        <v>2034</v>
      </c>
      <c r="L63">
        <v>2035</v>
      </c>
      <c r="M63">
        <v>2036</v>
      </c>
      <c r="N63">
        <v>2037</v>
      </c>
      <c r="O63">
        <v>2038</v>
      </c>
      <c r="P63">
        <v>2039</v>
      </c>
      <c r="Q63">
        <v>2040</v>
      </c>
      <c r="R63">
        <v>2041</v>
      </c>
      <c r="S63">
        <v>2042</v>
      </c>
      <c r="T63">
        <v>2043</v>
      </c>
      <c r="U63">
        <v>2044</v>
      </c>
      <c r="V63">
        <v>2045</v>
      </c>
      <c r="W63">
        <v>2046</v>
      </c>
      <c r="X63">
        <v>2047</v>
      </c>
      <c r="Y63">
        <v>2048</v>
      </c>
      <c r="Z63">
        <v>2049</v>
      </c>
      <c r="AA63">
        <v>2050</v>
      </c>
      <c r="AB63">
        <v>2051</v>
      </c>
      <c r="AC63">
        <v>2052</v>
      </c>
      <c r="AD63">
        <v>2053</v>
      </c>
      <c r="AE63">
        <v>2054</v>
      </c>
      <c r="AF63">
        <v>2055</v>
      </c>
      <c r="AG63">
        <v>2056</v>
      </c>
      <c r="AH63">
        <v>2057</v>
      </c>
      <c r="AI63">
        <v>2058</v>
      </c>
      <c r="AJ63">
        <v>2059</v>
      </c>
      <c r="AK63">
        <v>2060</v>
      </c>
    </row>
    <row r="64" spans="1:37" ht="15" customHeight="1" x14ac:dyDescent="0.2">
      <c r="A64" t="s">
        <v>463</v>
      </c>
      <c r="B64" t="s">
        <v>453</v>
      </c>
      <c r="C64" t="s">
        <v>453</v>
      </c>
      <c r="D64" s="111">
        <f>-Modello_Pess!AI5</f>
        <v>0</v>
      </c>
      <c r="E64" s="111">
        <f>-Modello_Pess!AI6</f>
        <v>0</v>
      </c>
      <c r="F64" s="111">
        <f>-Modello_Pess!AI7</f>
        <v>0</v>
      </c>
      <c r="G64" s="111">
        <f>-Modello_Pess!AI8</f>
        <v>0</v>
      </c>
      <c r="H64" s="111">
        <f>-Modello_Pess!AI9</f>
        <v>0</v>
      </c>
      <c r="I64" s="111">
        <f>-Modello_Pess!AI10</f>
        <v>0</v>
      </c>
      <c r="J64" s="111">
        <f>-Modello_Pess!AI11</f>
        <v>0</v>
      </c>
      <c r="K64" s="111">
        <f>-Modello_Pess!AI12</f>
        <v>0</v>
      </c>
      <c r="L64" s="111">
        <f>-Modello_Pess!AI13</f>
        <v>0</v>
      </c>
      <c r="M64" s="111">
        <f>-Modello_Pess!AI14</f>
        <v>0</v>
      </c>
      <c r="N64" s="111">
        <f>-Modello_Pess!AI15</f>
        <v>0</v>
      </c>
      <c r="O64" s="111">
        <f>-Modello_Pess!AI16</f>
        <v>0</v>
      </c>
      <c r="P64" s="111">
        <f>-Modello_Pess!AI17</f>
        <v>0</v>
      </c>
      <c r="Q64" s="111">
        <f>-Modello_Pess!AI18</f>
        <v>0</v>
      </c>
      <c r="R64" s="111">
        <f>-Modello_Pess!AI19</f>
        <v>0</v>
      </c>
      <c r="S64" s="111">
        <f>-Modello_Pess!AI20</f>
        <v>3.0838500000000004</v>
      </c>
      <c r="T64" s="111">
        <f>-Modello_Pess!AI21</f>
        <v>3.5943240960000007</v>
      </c>
      <c r="U64" s="111">
        <f>-Modello_Pess!AI22</f>
        <v>4.1065441717499995</v>
      </c>
      <c r="V64" s="111">
        <f>-Modello_Pess!AI23</f>
        <v>4.620548261693699</v>
      </c>
      <c r="W64" s="111">
        <f>-Modello_Pess!AI24</f>
        <v>5.1363744856463818</v>
      </c>
      <c r="X64" s="111">
        <f>-Modello_Pess!AI25</f>
        <v>5.6540610503775817</v>
      </c>
      <c r="Y64" s="111">
        <f>-Modello_Pess!AI26</f>
        <v>5.8212260778360658</v>
      </c>
      <c r="Z64" s="111">
        <f>-Modello_Pess!AI27</f>
        <v>5.9890866759568429</v>
      </c>
      <c r="AA64" s="111">
        <f>-Modello_Pess!AI28</f>
        <v>6.1576548903873283</v>
      </c>
      <c r="AB64" s="111">
        <f>-Modello_Pess!AI29</f>
        <v>6.3269427980196795</v>
      </c>
      <c r="AC64" s="111">
        <f>-Modello_Pess!AI30</f>
        <v>6.4969625074886057</v>
      </c>
      <c r="AD64" s="111">
        <f>-Modello_Pess!AI31</f>
        <v>6.6677261596702913</v>
      </c>
      <c r="AE64" s="111">
        <f>-Modello_Pess!AI32</f>
        <v>6.8392459281824864</v>
      </c>
      <c r="AF64" s="111">
        <f>-Modello_Pess!AI33</f>
        <v>7.0115340198857314</v>
      </c>
      <c r="AG64" s="111">
        <f>-Modello_Pess!AI34</f>
        <v>7.1846026753857819</v>
      </c>
      <c r="AH64" s="111">
        <f>-Modello_Pess!AI35</f>
        <v>7.3584641695372301</v>
      </c>
      <c r="AI64" s="111">
        <f>-Modello_Pess!AI36</f>
        <v>7.53313081194832</v>
      </c>
      <c r="AJ64" s="111">
        <f>-Modello_Pess!AI37</f>
        <v>7.7086149474870282</v>
      </c>
      <c r="AK64" s="111">
        <f>-Modello_Pess!AI38</f>
        <v>7.8849289567883609</v>
      </c>
    </row>
    <row r="66" spans="1:37" ht="15" customHeight="1" x14ac:dyDescent="0.2">
      <c r="A66" s="110" t="s">
        <v>464</v>
      </c>
    </row>
    <row r="67" spans="1:37" ht="15" customHeight="1" x14ac:dyDescent="0.2">
      <c r="D67">
        <v>2027</v>
      </c>
      <c r="E67">
        <v>2028</v>
      </c>
      <c r="F67">
        <v>2029</v>
      </c>
      <c r="G67">
        <v>2030</v>
      </c>
      <c r="H67">
        <v>2031</v>
      </c>
      <c r="I67">
        <v>2032</v>
      </c>
      <c r="J67">
        <v>2033</v>
      </c>
      <c r="K67">
        <v>2034</v>
      </c>
      <c r="L67">
        <v>2035</v>
      </c>
      <c r="M67">
        <v>2036</v>
      </c>
      <c r="N67">
        <v>2037</v>
      </c>
      <c r="O67">
        <v>2038</v>
      </c>
      <c r="P67">
        <v>2039</v>
      </c>
      <c r="Q67">
        <v>2040</v>
      </c>
      <c r="R67">
        <v>2041</v>
      </c>
      <c r="S67">
        <v>2042</v>
      </c>
      <c r="T67">
        <v>2043</v>
      </c>
      <c r="U67">
        <v>2044</v>
      </c>
      <c r="V67">
        <v>2045</v>
      </c>
      <c r="W67">
        <v>2046</v>
      </c>
      <c r="X67">
        <v>2047</v>
      </c>
      <c r="Y67">
        <v>2048</v>
      </c>
      <c r="Z67">
        <v>2049</v>
      </c>
      <c r="AA67">
        <v>2050</v>
      </c>
      <c r="AB67">
        <v>2051</v>
      </c>
      <c r="AC67">
        <v>2052</v>
      </c>
      <c r="AD67">
        <v>2053</v>
      </c>
      <c r="AE67">
        <v>2054</v>
      </c>
      <c r="AF67">
        <v>2055</v>
      </c>
      <c r="AG67">
        <v>2056</v>
      </c>
      <c r="AH67">
        <v>2057</v>
      </c>
      <c r="AI67">
        <v>2058</v>
      </c>
      <c r="AJ67">
        <v>2059</v>
      </c>
      <c r="AK67">
        <v>2060</v>
      </c>
    </row>
    <row r="68" spans="1:37" ht="15" customHeight="1" x14ac:dyDescent="0.2">
      <c r="A68" t="s">
        <v>458</v>
      </c>
      <c r="B68" s="112">
        <v>7.4999999999999997E-3</v>
      </c>
      <c r="C68" t="s">
        <v>453</v>
      </c>
      <c r="D68" s="111">
        <f t="shared" ref="D68:AK68" si="17">D57+D64</f>
        <v>0</v>
      </c>
      <c r="E68" s="111">
        <f t="shared" si="17"/>
        <v>2.3128875000000004E-2</v>
      </c>
      <c r="F68" s="111">
        <f t="shared" si="17"/>
        <v>5.0086305720000009E-2</v>
      </c>
      <c r="G68" s="111">
        <f t="shared" si="17"/>
        <v>8.0885387008125004E-2</v>
      </c>
      <c r="H68" s="111">
        <f t="shared" si="17"/>
        <v>0.11553949897082776</v>
      </c>
      <c r="I68" s="111">
        <f t="shared" si="17"/>
        <v>0.1540623076131756</v>
      </c>
      <c r="J68" s="111">
        <f t="shared" si="17"/>
        <v>0.19646776549100747</v>
      </c>
      <c r="K68" s="111">
        <f t="shared" si="17"/>
        <v>0.24012696107477796</v>
      </c>
      <c r="L68" s="111">
        <f t="shared" si="17"/>
        <v>0.28504511114445424</v>
      </c>
      <c r="M68" s="111">
        <f t="shared" si="17"/>
        <v>0.33122752282235923</v>
      </c>
      <c r="N68" s="111">
        <f t="shared" si="17"/>
        <v>0.37867959380750682</v>
      </c>
      <c r="O68" s="111">
        <f t="shared" si="17"/>
        <v>0.42740681261367136</v>
      </c>
      <c r="P68" s="111">
        <f t="shared" si="17"/>
        <v>0.47741475881119855</v>
      </c>
      <c r="Q68" s="111">
        <f t="shared" si="17"/>
        <v>0.52870910327256726</v>
      </c>
      <c r="R68" s="111">
        <f t="shared" si="17"/>
        <v>0.58129560842171024</v>
      </c>
      <c r="S68" s="111">
        <f t="shared" si="17"/>
        <v>3.7190301284871041</v>
      </c>
      <c r="T68" s="111">
        <f t="shared" si="17"/>
        <v>4.2615638307586332</v>
      </c>
      <c r="U68" s="111">
        <f t="shared" si="17"/>
        <v>4.803324956878245</v>
      </c>
      <c r="V68" s="111">
        <f t="shared" si="17"/>
        <v>5.3443445776399718</v>
      </c>
      <c r="W68" s="111">
        <f t="shared" si="17"/>
        <v>5.8846536568058649</v>
      </c>
      <c r="X68" s="111">
        <f t="shared" si="17"/>
        <v>6.4242830523204386</v>
      </c>
      <c r="Y68" s="111">
        <f t="shared" si="17"/>
        <v>6.5490426219010907</v>
      </c>
      <c r="Z68" s="111">
        <f t="shared" si="17"/>
        <v>6.6732440244380973</v>
      </c>
      <c r="AA68" s="111">
        <f t="shared" si="17"/>
        <v>6.7968940887989069</v>
      </c>
      <c r="AB68" s="111">
        <f t="shared" si="17"/>
        <v>6.9199995847533531</v>
      </c>
      <c r="AC68" s="111">
        <f t="shared" si="17"/>
        <v>7.0425672232371319</v>
      </c>
      <c r="AD68" s="111">
        <f t="shared" si="17"/>
        <v>7.1646036566126527</v>
      </c>
      <c r="AE68" s="111">
        <f t="shared" si="17"/>
        <v>7.2861154789273206</v>
      </c>
      <c r="AF68" s="111">
        <f t="shared" si="17"/>
        <v>7.4071092261691973</v>
      </c>
      <c r="AG68" s="111">
        <f t="shared" si="17"/>
        <v>7.5275913765201041</v>
      </c>
      <c r="AH68" s="111">
        <f t="shared" si="17"/>
        <v>7.6475683506061589</v>
      </c>
      <c r="AI68" s="111">
        <f t="shared" si="17"/>
        <v>7.7670465117457201</v>
      </c>
      <c r="AJ68" s="111">
        <f t="shared" si="17"/>
        <v>7.8860321661948154</v>
      </c>
      <c r="AK68" s="111">
        <f t="shared" si="17"/>
        <v>8.0045315633899961</v>
      </c>
    </row>
    <row r="69" spans="1:37" ht="15" customHeight="1" x14ac:dyDescent="0.2">
      <c r="A69" t="s">
        <v>459</v>
      </c>
      <c r="B69" s="112">
        <v>1.4999999999999999E-2</v>
      </c>
      <c r="C69" t="s">
        <v>453</v>
      </c>
      <c r="D69" s="111">
        <f t="shared" ref="D69:AK69" si="18">D58+D64</f>
        <v>0</v>
      </c>
      <c r="E69" s="111">
        <f t="shared" si="18"/>
        <v>4.6257750000000007E-2</v>
      </c>
      <c r="F69" s="111">
        <f t="shared" si="18"/>
        <v>0.10017261144000002</v>
      </c>
      <c r="G69" s="111">
        <f t="shared" si="18"/>
        <v>0.16177077401625001</v>
      </c>
      <c r="H69" s="111">
        <f t="shared" si="18"/>
        <v>0.23107899794165551</v>
      </c>
      <c r="I69" s="111">
        <f t="shared" si="18"/>
        <v>0.30812461522635121</v>
      </c>
      <c r="J69" s="111">
        <f t="shared" si="18"/>
        <v>0.39293553098201495</v>
      </c>
      <c r="K69" s="111">
        <f t="shared" si="18"/>
        <v>0.48025392214955592</v>
      </c>
      <c r="L69" s="111">
        <f t="shared" si="18"/>
        <v>0.57009022228890849</v>
      </c>
      <c r="M69" s="111">
        <f t="shared" si="18"/>
        <v>0.66245504564471847</v>
      </c>
      <c r="N69" s="111">
        <f t="shared" si="18"/>
        <v>0.75735918761501364</v>
      </c>
      <c r="O69" s="111">
        <f t="shared" si="18"/>
        <v>0.85481362522734272</v>
      </c>
      <c r="P69" s="111">
        <f t="shared" si="18"/>
        <v>0.95482951762239709</v>
      </c>
      <c r="Q69" s="111">
        <f t="shared" si="18"/>
        <v>1.0574182065451345</v>
      </c>
      <c r="R69" s="111">
        <f t="shared" si="18"/>
        <v>1.1625912168434205</v>
      </c>
      <c r="S69" s="111">
        <f t="shared" si="18"/>
        <v>4.3542102569742074</v>
      </c>
      <c r="T69" s="111">
        <f t="shared" si="18"/>
        <v>4.9288035655172662</v>
      </c>
      <c r="U69" s="111">
        <f t="shared" si="18"/>
        <v>5.5001057420064896</v>
      </c>
      <c r="V69" s="111">
        <f t="shared" si="18"/>
        <v>6.0681408935862446</v>
      </c>
      <c r="W69" s="111">
        <f t="shared" si="18"/>
        <v>6.6329328279653481</v>
      </c>
      <c r="X69" s="111">
        <f t="shared" si="18"/>
        <v>7.1945050542632956</v>
      </c>
      <c r="Y69" s="111">
        <f t="shared" si="18"/>
        <v>7.2768591659661164</v>
      </c>
      <c r="Z69" s="111">
        <f t="shared" si="18"/>
        <v>7.3574013729193526</v>
      </c>
      <c r="AA69" s="111">
        <f t="shared" si="18"/>
        <v>7.4361332872104846</v>
      </c>
      <c r="AB69" s="111">
        <f t="shared" si="18"/>
        <v>7.5130563714870267</v>
      </c>
      <c r="AC69" s="111">
        <f t="shared" si="18"/>
        <v>7.5881719389856572</v>
      </c>
      <c r="AD69" s="111">
        <f t="shared" si="18"/>
        <v>7.6614811535550142</v>
      </c>
      <c r="AE69" s="111">
        <f t="shared" si="18"/>
        <v>7.7329850296721547</v>
      </c>
      <c r="AF69" s="111">
        <f t="shared" si="18"/>
        <v>7.8026844324526623</v>
      </c>
      <c r="AG69" s="111">
        <f t="shared" si="18"/>
        <v>7.8705800776544272</v>
      </c>
      <c r="AH69" s="111">
        <f t="shared" si="18"/>
        <v>7.9366725316750886</v>
      </c>
      <c r="AI69" s="111">
        <f t="shared" si="18"/>
        <v>8.0009622115431203</v>
      </c>
      <c r="AJ69" s="111">
        <f t="shared" si="18"/>
        <v>8.0634493849026025</v>
      </c>
      <c r="AK69" s="111">
        <f t="shared" si="18"/>
        <v>8.1241341699916312</v>
      </c>
    </row>
    <row r="70" spans="1:37" ht="15" customHeight="1" x14ac:dyDescent="0.2">
      <c r="A70" t="s">
        <v>460</v>
      </c>
      <c r="B70" s="112">
        <v>2.5000000000000001E-2</v>
      </c>
      <c r="C70" t="s">
        <v>453</v>
      </c>
      <c r="D70" s="111">
        <f t="shared" ref="D70:AK70" si="19">D59+D64</f>
        <v>0</v>
      </c>
      <c r="E70" s="111">
        <f t="shared" si="19"/>
        <v>7.7096250000000019E-2</v>
      </c>
      <c r="F70" s="111">
        <f t="shared" si="19"/>
        <v>0.16695435240000003</v>
      </c>
      <c r="G70" s="111">
        <f t="shared" si="19"/>
        <v>0.26961795669375005</v>
      </c>
      <c r="H70" s="111">
        <f t="shared" si="19"/>
        <v>0.38513166323609255</v>
      </c>
      <c r="I70" s="111">
        <f t="shared" si="19"/>
        <v>0.5135410253772521</v>
      </c>
      <c r="J70" s="111">
        <f t="shared" si="19"/>
        <v>0.65489255163669169</v>
      </c>
      <c r="K70" s="111">
        <f t="shared" si="19"/>
        <v>0.80042320358259333</v>
      </c>
      <c r="L70" s="111">
        <f t="shared" si="19"/>
        <v>0.95015037048151429</v>
      </c>
      <c r="M70" s="111">
        <f t="shared" si="19"/>
        <v>1.1040917427411976</v>
      </c>
      <c r="N70" s="111">
        <f t="shared" si="19"/>
        <v>1.2622653126916896</v>
      </c>
      <c r="O70" s="111">
        <f t="shared" si="19"/>
        <v>1.4246893753789047</v>
      </c>
      <c r="P70" s="111">
        <f t="shared" si="19"/>
        <v>1.591382529370662</v>
      </c>
      <c r="Q70" s="111">
        <f t="shared" si="19"/>
        <v>1.7623636775752243</v>
      </c>
      <c r="R70" s="111">
        <f t="shared" si="19"/>
        <v>1.9376520280723675</v>
      </c>
      <c r="S70" s="111">
        <f t="shared" si="19"/>
        <v>5.2011170949570129</v>
      </c>
      <c r="T70" s="111">
        <f t="shared" si="19"/>
        <v>5.8184565451954438</v>
      </c>
      <c r="U70" s="111">
        <f t="shared" si="19"/>
        <v>6.4291467888441503</v>
      </c>
      <c r="V70" s="111">
        <f t="shared" si="19"/>
        <v>7.0332026481812751</v>
      </c>
      <c r="W70" s="111">
        <f t="shared" si="19"/>
        <v>7.6306383895113257</v>
      </c>
      <c r="X70" s="111">
        <f t="shared" si="19"/>
        <v>8.2214677235204388</v>
      </c>
      <c r="Y70" s="111">
        <f t="shared" si="19"/>
        <v>8.2472812247194831</v>
      </c>
      <c r="Z70" s="111">
        <f t="shared" si="19"/>
        <v>8.2696111708943594</v>
      </c>
      <c r="AA70" s="111">
        <f t="shared" si="19"/>
        <v>8.2884522184259239</v>
      </c>
      <c r="AB70" s="111">
        <f t="shared" si="19"/>
        <v>8.303798753798592</v>
      </c>
      <c r="AC70" s="111">
        <f t="shared" si="19"/>
        <v>8.3156448933170246</v>
      </c>
      <c r="AD70" s="111">
        <f t="shared" si="19"/>
        <v>8.3239844828114968</v>
      </c>
      <c r="AE70" s="111">
        <f t="shared" si="19"/>
        <v>8.3288110973319327</v>
      </c>
      <c r="AF70" s="111">
        <f t="shared" si="19"/>
        <v>8.3301180408306159</v>
      </c>
      <c r="AG70" s="111">
        <f t="shared" si="19"/>
        <v>8.327898345833523</v>
      </c>
      <c r="AH70" s="111">
        <f t="shared" si="19"/>
        <v>8.3221447731003266</v>
      </c>
      <c r="AI70" s="111">
        <f t="shared" si="19"/>
        <v>8.3128498112729865</v>
      </c>
      <c r="AJ70" s="111">
        <f t="shared" si="19"/>
        <v>8.3000056765129866</v>
      </c>
      <c r="AK70" s="111">
        <f t="shared" si="19"/>
        <v>8.2836043121271441</v>
      </c>
    </row>
    <row r="71" spans="1:37" ht="15" customHeight="1" x14ac:dyDescent="0.2">
      <c r="A71" t="s">
        <v>461</v>
      </c>
      <c r="B71" s="112">
        <v>3.5000000000000003E-2</v>
      </c>
      <c r="C71" t="s">
        <v>453</v>
      </c>
      <c r="D71" s="111">
        <f t="shared" ref="D71:AK71" si="20">D60+D64</f>
        <v>0</v>
      </c>
      <c r="E71" s="111">
        <f t="shared" si="20"/>
        <v>0.10793475000000002</v>
      </c>
      <c r="F71" s="111">
        <f t="shared" si="20"/>
        <v>0.23373609336000006</v>
      </c>
      <c r="G71" s="111">
        <f t="shared" si="20"/>
        <v>0.37746513937125009</v>
      </c>
      <c r="H71" s="111">
        <f t="shared" si="20"/>
        <v>0.53918432853052956</v>
      </c>
      <c r="I71" s="111">
        <f t="shared" si="20"/>
        <v>0.71895743552815294</v>
      </c>
      <c r="J71" s="111">
        <f t="shared" si="20"/>
        <v>0.91684957229136832</v>
      </c>
      <c r="K71" s="111">
        <f t="shared" si="20"/>
        <v>1.1205924850156306</v>
      </c>
      <c r="L71" s="111">
        <f t="shared" si="20"/>
        <v>1.3302105186741202</v>
      </c>
      <c r="M71" s="111">
        <f t="shared" si="20"/>
        <v>1.5457284398376765</v>
      </c>
      <c r="N71" s="111">
        <f t="shared" si="20"/>
        <v>1.7671714377683654</v>
      </c>
      <c r="O71" s="111">
        <f t="shared" si="20"/>
        <v>1.9945651255304666</v>
      </c>
      <c r="P71" s="111">
        <f t="shared" si="20"/>
        <v>2.227935541118927</v>
      </c>
      <c r="Q71" s="111">
        <f t="shared" si="20"/>
        <v>2.467309148605314</v>
      </c>
      <c r="R71" s="111">
        <f t="shared" si="20"/>
        <v>2.7127128393013149</v>
      </c>
      <c r="S71" s="111">
        <f t="shared" si="20"/>
        <v>6.0480239329398167</v>
      </c>
      <c r="T71" s="111">
        <f t="shared" si="20"/>
        <v>6.7081095248736204</v>
      </c>
      <c r="U71" s="111">
        <f t="shared" si="20"/>
        <v>7.3581878356818109</v>
      </c>
      <c r="V71" s="111">
        <f t="shared" si="20"/>
        <v>7.9982644027763063</v>
      </c>
      <c r="W71" s="111">
        <f t="shared" si="20"/>
        <v>8.6283439510573032</v>
      </c>
      <c r="X71" s="111">
        <f t="shared" si="20"/>
        <v>9.2484303927775819</v>
      </c>
      <c r="Y71" s="111">
        <f t="shared" si="20"/>
        <v>9.2177032834728507</v>
      </c>
      <c r="Z71" s="111">
        <f t="shared" si="20"/>
        <v>9.1818209688693653</v>
      </c>
      <c r="AA71" s="111">
        <f t="shared" si="20"/>
        <v>9.1407711496413615</v>
      </c>
      <c r="AB71" s="111">
        <f t="shared" si="20"/>
        <v>9.0945411361101556</v>
      </c>
      <c r="AC71" s="111">
        <f t="shared" si="20"/>
        <v>9.0431178476483929</v>
      </c>
      <c r="AD71" s="111">
        <f t="shared" si="20"/>
        <v>8.9864878120679776</v>
      </c>
      <c r="AE71" s="111">
        <f t="shared" si="20"/>
        <v>8.9246371649917116</v>
      </c>
      <c r="AF71" s="111">
        <f t="shared" si="20"/>
        <v>8.8575516492085704</v>
      </c>
      <c r="AG71" s="111">
        <f t="shared" si="20"/>
        <v>8.7852166140126204</v>
      </c>
      <c r="AH71" s="111">
        <f t="shared" si="20"/>
        <v>8.7076170145255656</v>
      </c>
      <c r="AI71" s="111">
        <f t="shared" si="20"/>
        <v>8.6247374110028527</v>
      </c>
      <c r="AJ71" s="111">
        <f t="shared" si="20"/>
        <v>8.5365619681233706</v>
      </c>
      <c r="AK71" s="111">
        <f t="shared" si="20"/>
        <v>8.443074454262657</v>
      </c>
    </row>
    <row r="73" spans="1:37" ht="15" customHeight="1" x14ac:dyDescent="0.2">
      <c r="A73" s="110" t="s">
        <v>465</v>
      </c>
    </row>
    <row r="74" spans="1:37" ht="15" customHeight="1" x14ac:dyDescent="0.2">
      <c r="D74">
        <v>2027</v>
      </c>
      <c r="E74">
        <v>2028</v>
      </c>
      <c r="F74">
        <v>2029</v>
      </c>
      <c r="G74">
        <v>2030</v>
      </c>
      <c r="H74">
        <v>2031</v>
      </c>
      <c r="I74">
        <v>2032</v>
      </c>
      <c r="J74">
        <v>2033</v>
      </c>
      <c r="K74">
        <v>2034</v>
      </c>
      <c r="L74">
        <v>2035</v>
      </c>
      <c r="M74">
        <v>2036</v>
      </c>
      <c r="N74">
        <v>2037</v>
      </c>
      <c r="O74">
        <v>2038</v>
      </c>
      <c r="P74">
        <v>2039</v>
      </c>
      <c r="Q74">
        <v>2040</v>
      </c>
      <c r="R74">
        <v>2041</v>
      </c>
      <c r="S74">
        <v>2042</v>
      </c>
      <c r="T74">
        <v>2043</v>
      </c>
      <c r="U74">
        <v>2044</v>
      </c>
      <c r="V74">
        <v>2045</v>
      </c>
      <c r="W74">
        <v>2046</v>
      </c>
      <c r="X74">
        <v>2047</v>
      </c>
      <c r="Y74">
        <v>2048</v>
      </c>
      <c r="Z74">
        <v>2049</v>
      </c>
      <c r="AA74">
        <v>2050</v>
      </c>
      <c r="AB74">
        <v>2051</v>
      </c>
      <c r="AC74">
        <v>2052</v>
      </c>
      <c r="AD74">
        <v>2053</v>
      </c>
      <c r="AE74">
        <v>2054</v>
      </c>
      <c r="AF74">
        <v>2055</v>
      </c>
      <c r="AG74">
        <v>2056</v>
      </c>
      <c r="AH74">
        <v>2057</v>
      </c>
      <c r="AI74">
        <v>2058</v>
      </c>
      <c r="AJ74">
        <v>2059</v>
      </c>
      <c r="AK74">
        <v>2060</v>
      </c>
    </row>
    <row r="75" spans="1:37" ht="15" customHeight="1" x14ac:dyDescent="0.2">
      <c r="A75" t="s">
        <v>458</v>
      </c>
      <c r="B75" s="112">
        <v>7.4999999999999997E-3</v>
      </c>
      <c r="C75" t="s">
        <v>453</v>
      </c>
      <c r="D75" s="111">
        <f>D57</f>
        <v>0</v>
      </c>
      <c r="E75" s="111">
        <f t="shared" ref="E75:AK75" si="21">D75+E57</f>
        <v>2.3128875000000004E-2</v>
      </c>
      <c r="F75" s="111">
        <f t="shared" si="21"/>
        <v>7.3215180720000009E-2</v>
      </c>
      <c r="G75" s="111">
        <f t="shared" si="21"/>
        <v>0.15410056772812503</v>
      </c>
      <c r="H75" s="111">
        <f t="shared" si="21"/>
        <v>0.2696400666989528</v>
      </c>
      <c r="I75" s="111">
        <f t="shared" si="21"/>
        <v>0.42370237431212843</v>
      </c>
      <c r="J75" s="111">
        <f t="shared" si="21"/>
        <v>0.62017013980313584</v>
      </c>
      <c r="K75" s="111">
        <f t="shared" si="21"/>
        <v>0.86029710087791378</v>
      </c>
      <c r="L75" s="111">
        <f t="shared" si="21"/>
        <v>1.145342212022368</v>
      </c>
      <c r="M75" s="111">
        <f t="shared" si="21"/>
        <v>1.4765697348447273</v>
      </c>
      <c r="N75" s="111">
        <f t="shared" si="21"/>
        <v>1.855249328652234</v>
      </c>
      <c r="O75" s="111">
        <f t="shared" si="21"/>
        <v>2.2826561412659054</v>
      </c>
      <c r="P75" s="111">
        <f t="shared" si="21"/>
        <v>2.7600709000771042</v>
      </c>
      <c r="Q75" s="111">
        <f t="shared" si="21"/>
        <v>3.2887800033496717</v>
      </c>
      <c r="R75" s="111">
        <f t="shared" si="21"/>
        <v>3.8700756117713819</v>
      </c>
      <c r="S75" s="111">
        <f t="shared" si="21"/>
        <v>4.5052557402584856</v>
      </c>
      <c r="T75" s="111">
        <f t="shared" si="21"/>
        <v>5.1724954750171186</v>
      </c>
      <c r="U75" s="111">
        <f t="shared" si="21"/>
        <v>5.8692762601453641</v>
      </c>
      <c r="V75" s="111">
        <f t="shared" si="21"/>
        <v>6.5930725760916369</v>
      </c>
      <c r="W75" s="111">
        <f t="shared" si="21"/>
        <v>7.3413517472511201</v>
      </c>
      <c r="X75" s="111">
        <f t="shared" si="21"/>
        <v>8.1115737491939779</v>
      </c>
      <c r="Y75" s="111">
        <f t="shared" si="21"/>
        <v>8.8393902932590027</v>
      </c>
      <c r="Z75" s="111">
        <f t="shared" si="21"/>
        <v>9.523547641740258</v>
      </c>
      <c r="AA75" s="111">
        <f t="shared" si="21"/>
        <v>10.162786840151837</v>
      </c>
      <c r="AB75" s="111">
        <f t="shared" si="21"/>
        <v>10.755843626885509</v>
      </c>
      <c r="AC75" s="111">
        <f t="shared" si="21"/>
        <v>11.301448342634036</v>
      </c>
      <c r="AD75" s="111">
        <f t="shared" si="21"/>
        <v>11.798325839576396</v>
      </c>
      <c r="AE75" s="111">
        <f t="shared" si="21"/>
        <v>12.24519539032123</v>
      </c>
      <c r="AF75" s="111">
        <f t="shared" si="21"/>
        <v>12.640770596604696</v>
      </c>
      <c r="AG75" s="111">
        <f t="shared" si="21"/>
        <v>12.983759297739018</v>
      </c>
      <c r="AH75" s="111">
        <f t="shared" si="21"/>
        <v>13.272863478807947</v>
      </c>
      <c r="AI75" s="111">
        <f t="shared" si="21"/>
        <v>13.506779178605347</v>
      </c>
      <c r="AJ75" s="111">
        <f t="shared" si="21"/>
        <v>13.684196397313135</v>
      </c>
      <c r="AK75" s="111">
        <f t="shared" si="21"/>
        <v>13.80379900391477</v>
      </c>
    </row>
    <row r="76" spans="1:37" ht="15" customHeight="1" x14ac:dyDescent="0.2">
      <c r="A76" t="s">
        <v>459</v>
      </c>
      <c r="B76" s="112">
        <v>1.4999999999999999E-2</v>
      </c>
      <c r="C76" t="s">
        <v>453</v>
      </c>
      <c r="D76" s="111">
        <f>D58</f>
        <v>0</v>
      </c>
      <c r="E76" s="111">
        <f t="shared" ref="E76:AK76" si="22">D76+E58</f>
        <v>4.6257750000000007E-2</v>
      </c>
      <c r="F76" s="111">
        <f t="shared" si="22"/>
        <v>0.14643036144000002</v>
      </c>
      <c r="G76" s="111">
        <f t="shared" si="22"/>
        <v>0.30820113545625005</v>
      </c>
      <c r="H76" s="111">
        <f t="shared" si="22"/>
        <v>0.53928013339790559</v>
      </c>
      <c r="I76" s="111">
        <f t="shared" si="22"/>
        <v>0.84740474862425685</v>
      </c>
      <c r="J76" s="111">
        <f t="shared" si="22"/>
        <v>1.2403402796062717</v>
      </c>
      <c r="K76" s="111">
        <f t="shared" si="22"/>
        <v>1.7205942017558276</v>
      </c>
      <c r="L76" s="111">
        <f t="shared" si="22"/>
        <v>2.2906844240447359</v>
      </c>
      <c r="M76" s="111">
        <f t="shared" si="22"/>
        <v>2.9531394696894546</v>
      </c>
      <c r="N76" s="111">
        <f t="shared" si="22"/>
        <v>3.710498657304468</v>
      </c>
      <c r="O76" s="111">
        <f t="shared" si="22"/>
        <v>4.5653122825318109</v>
      </c>
      <c r="P76" s="111">
        <f t="shared" si="22"/>
        <v>5.5201418001542084</v>
      </c>
      <c r="Q76" s="111">
        <f t="shared" si="22"/>
        <v>6.5775600066993434</v>
      </c>
      <c r="R76" s="111">
        <f t="shared" si="22"/>
        <v>7.7401512235427639</v>
      </c>
      <c r="S76" s="111">
        <f t="shared" si="22"/>
        <v>9.0105114805169713</v>
      </c>
      <c r="T76" s="111">
        <f t="shared" si="22"/>
        <v>10.344990950034237</v>
      </c>
      <c r="U76" s="111">
        <f t="shared" si="22"/>
        <v>11.738552520290728</v>
      </c>
      <c r="V76" s="111">
        <f t="shared" si="22"/>
        <v>13.186145152183274</v>
      </c>
      <c r="W76" s="111">
        <f t="shared" si="22"/>
        <v>14.68270349450224</v>
      </c>
      <c r="X76" s="111">
        <f t="shared" si="22"/>
        <v>16.223147498387956</v>
      </c>
      <c r="Y76" s="111">
        <f t="shared" si="22"/>
        <v>17.678780586518005</v>
      </c>
      <c r="Z76" s="111">
        <f t="shared" si="22"/>
        <v>19.047095283480516</v>
      </c>
      <c r="AA76" s="111">
        <f t="shared" si="22"/>
        <v>20.325573680303673</v>
      </c>
      <c r="AB76" s="111">
        <f t="shared" si="22"/>
        <v>21.511687253771019</v>
      </c>
      <c r="AC76" s="111">
        <f t="shared" si="22"/>
        <v>22.602896685268071</v>
      </c>
      <c r="AD76" s="111">
        <f t="shared" si="22"/>
        <v>23.596651679152792</v>
      </c>
      <c r="AE76" s="111">
        <f t="shared" si="22"/>
        <v>24.490390780642461</v>
      </c>
      <c r="AF76" s="111">
        <f t="shared" si="22"/>
        <v>25.281541193209392</v>
      </c>
      <c r="AG76" s="111">
        <f t="shared" si="22"/>
        <v>25.967518595478037</v>
      </c>
      <c r="AH76" s="111">
        <f t="shared" si="22"/>
        <v>26.545726957615894</v>
      </c>
      <c r="AI76" s="111">
        <f t="shared" si="22"/>
        <v>27.013558357210695</v>
      </c>
      <c r="AJ76" s="111">
        <f t="shared" si="22"/>
        <v>27.368392794626271</v>
      </c>
      <c r="AK76" s="111">
        <f t="shared" si="22"/>
        <v>27.607598007829541</v>
      </c>
    </row>
    <row r="77" spans="1:37" ht="15" customHeight="1" x14ac:dyDescent="0.2">
      <c r="A77" t="s">
        <v>460</v>
      </c>
      <c r="B77" s="112">
        <v>2.5000000000000001E-2</v>
      </c>
      <c r="C77" t="s">
        <v>453</v>
      </c>
      <c r="D77" s="111">
        <f>D59</f>
        <v>0</v>
      </c>
      <c r="E77" s="111">
        <f t="shared" ref="E77:AK77" si="23">D77+E59</f>
        <v>7.7096250000000019E-2</v>
      </c>
      <c r="F77" s="111">
        <f t="shared" si="23"/>
        <v>0.24405060240000004</v>
      </c>
      <c r="G77" s="111">
        <f t="shared" si="23"/>
        <v>0.51366855909375009</v>
      </c>
      <c r="H77" s="111">
        <f t="shared" si="23"/>
        <v>0.89880022232984258</v>
      </c>
      <c r="I77" s="111">
        <f t="shared" si="23"/>
        <v>1.4123412477070947</v>
      </c>
      <c r="J77" s="111">
        <f t="shared" si="23"/>
        <v>2.0672337993437866</v>
      </c>
      <c r="K77" s="111">
        <f t="shared" si="23"/>
        <v>2.8676570029263799</v>
      </c>
      <c r="L77" s="111">
        <f t="shared" si="23"/>
        <v>3.8178073734078941</v>
      </c>
      <c r="M77" s="111">
        <f t="shared" si="23"/>
        <v>4.9218991161490919</v>
      </c>
      <c r="N77" s="111">
        <f t="shared" si="23"/>
        <v>6.1841644288407815</v>
      </c>
      <c r="O77" s="111">
        <f t="shared" si="23"/>
        <v>7.6088538042196863</v>
      </c>
      <c r="P77" s="111">
        <f t="shared" si="23"/>
        <v>9.2002363335903485</v>
      </c>
      <c r="Q77" s="111">
        <f t="shared" si="23"/>
        <v>10.962600011165573</v>
      </c>
      <c r="R77" s="111">
        <f t="shared" si="23"/>
        <v>12.900252039237941</v>
      </c>
      <c r="S77" s="111">
        <f t="shared" si="23"/>
        <v>15.017519134194952</v>
      </c>
      <c r="T77" s="111">
        <f t="shared" si="23"/>
        <v>17.241651583390393</v>
      </c>
      <c r="U77" s="111">
        <f t="shared" si="23"/>
        <v>19.564254200484545</v>
      </c>
      <c r="V77" s="111">
        <f t="shared" si="23"/>
        <v>21.976908586972122</v>
      </c>
      <c r="W77" s="111">
        <f t="shared" si="23"/>
        <v>24.471172490837066</v>
      </c>
      <c r="X77" s="111">
        <f t="shared" si="23"/>
        <v>27.038579163979925</v>
      </c>
      <c r="Y77" s="111">
        <f t="shared" si="23"/>
        <v>29.464634310863342</v>
      </c>
      <c r="Z77" s="111">
        <f t="shared" si="23"/>
        <v>31.745158805800859</v>
      </c>
      <c r="AA77" s="111">
        <f t="shared" si="23"/>
        <v>33.875956133839452</v>
      </c>
      <c r="AB77" s="111">
        <f t="shared" si="23"/>
        <v>35.852812089618361</v>
      </c>
      <c r="AC77" s="111">
        <f t="shared" si="23"/>
        <v>37.671494475446778</v>
      </c>
      <c r="AD77" s="111">
        <f t="shared" si="23"/>
        <v>39.32775279858798</v>
      </c>
      <c r="AE77" s="111">
        <f t="shared" si="23"/>
        <v>40.817317967737424</v>
      </c>
      <c r="AF77" s="111">
        <f t="shared" si="23"/>
        <v>42.135901988682306</v>
      </c>
      <c r="AG77" s="111">
        <f t="shared" si="23"/>
        <v>43.279197659130048</v>
      </c>
      <c r="AH77" s="111">
        <f t="shared" si="23"/>
        <v>44.242878262693146</v>
      </c>
      <c r="AI77" s="111">
        <f t="shared" si="23"/>
        <v>45.022597262017811</v>
      </c>
      <c r="AJ77" s="111">
        <f t="shared" si="23"/>
        <v>45.613987991043771</v>
      </c>
      <c r="AK77" s="111">
        <f t="shared" si="23"/>
        <v>46.012663346382553</v>
      </c>
    </row>
    <row r="78" spans="1:37" ht="15" customHeight="1" x14ac:dyDescent="0.2">
      <c r="A78" t="s">
        <v>461</v>
      </c>
      <c r="B78" s="112">
        <v>3.5000000000000003E-2</v>
      </c>
      <c r="C78" t="s">
        <v>453</v>
      </c>
      <c r="D78" s="111">
        <f>D60</f>
        <v>0</v>
      </c>
      <c r="E78" s="111">
        <f t="shared" ref="E78:AK78" si="24">D78+E60</f>
        <v>0.10793475000000002</v>
      </c>
      <c r="F78" s="111">
        <f t="shared" si="24"/>
        <v>0.34167084336000009</v>
      </c>
      <c r="G78" s="111">
        <f t="shared" si="24"/>
        <v>0.71913598273125023</v>
      </c>
      <c r="H78" s="111">
        <f t="shared" si="24"/>
        <v>1.2583203112617798</v>
      </c>
      <c r="I78" s="111">
        <f t="shared" si="24"/>
        <v>1.9772777467899327</v>
      </c>
      <c r="J78" s="111">
        <f t="shared" si="24"/>
        <v>2.8941273190813011</v>
      </c>
      <c r="K78" s="111">
        <f t="shared" si="24"/>
        <v>4.0147198040969316</v>
      </c>
      <c r="L78" s="111">
        <f t="shared" si="24"/>
        <v>5.3449303227710523</v>
      </c>
      <c r="M78" s="111">
        <f t="shared" si="24"/>
        <v>6.8906587626087283</v>
      </c>
      <c r="N78" s="111">
        <f t="shared" si="24"/>
        <v>8.6578302003770933</v>
      </c>
      <c r="O78" s="111">
        <f t="shared" si="24"/>
        <v>10.652395325907559</v>
      </c>
      <c r="P78" s="111">
        <f t="shared" si="24"/>
        <v>12.880330867026487</v>
      </c>
      <c r="Q78" s="111">
        <f t="shared" si="24"/>
        <v>15.3476400156318</v>
      </c>
      <c r="R78" s="111">
        <f t="shared" si="24"/>
        <v>18.060352854933114</v>
      </c>
      <c r="S78" s="111">
        <f t="shared" si="24"/>
        <v>21.024526787872929</v>
      </c>
      <c r="T78" s="111">
        <f t="shared" si="24"/>
        <v>24.138312216746549</v>
      </c>
      <c r="U78" s="111">
        <f t="shared" si="24"/>
        <v>27.389955880678361</v>
      </c>
      <c r="V78" s="111">
        <f t="shared" si="24"/>
        <v>30.767672021760969</v>
      </c>
      <c r="W78" s="111">
        <f t="shared" si="24"/>
        <v>34.259641487171891</v>
      </c>
      <c r="X78" s="111">
        <f t="shared" si="24"/>
        <v>37.854010829571891</v>
      </c>
      <c r="Y78" s="111">
        <f t="shared" si="24"/>
        <v>41.250488035208676</v>
      </c>
      <c r="Z78" s="111">
        <f t="shared" si="24"/>
        <v>44.443222328121195</v>
      </c>
      <c r="AA78" s="111">
        <f t="shared" si="24"/>
        <v>47.426338587375227</v>
      </c>
      <c r="AB78" s="111">
        <f t="shared" si="24"/>
        <v>50.193936925465707</v>
      </c>
      <c r="AC78" s="111">
        <f t="shared" si="24"/>
        <v>52.740092265625492</v>
      </c>
      <c r="AD78" s="111">
        <f t="shared" si="24"/>
        <v>55.058853918023175</v>
      </c>
      <c r="AE78" s="111">
        <f t="shared" si="24"/>
        <v>57.144245154832404</v>
      </c>
      <c r="AF78" s="111">
        <f t="shared" si="24"/>
        <v>58.990262784155242</v>
      </c>
      <c r="AG78" s="111">
        <f t="shared" si="24"/>
        <v>60.590876722782077</v>
      </c>
      <c r="AH78" s="111">
        <f t="shared" si="24"/>
        <v>61.940029567770416</v>
      </c>
      <c r="AI78" s="111">
        <f t="shared" si="24"/>
        <v>63.031636166824953</v>
      </c>
      <c r="AJ78" s="111">
        <f t="shared" si="24"/>
        <v>63.859583187461297</v>
      </c>
      <c r="AK78" s="111">
        <f t="shared" si="24"/>
        <v>64.417728684935597</v>
      </c>
    </row>
    <row r="80" spans="1:37" x14ac:dyDescent="0.2">
      <c r="A80" s="117" t="s">
        <v>476</v>
      </c>
    </row>
    <row r="81" spans="1:37" x14ac:dyDescent="0.2">
      <c r="A81" s="117" t="s">
        <v>393</v>
      </c>
      <c r="B81" s="117" t="s">
        <v>477</v>
      </c>
      <c r="C81" s="117" t="s">
        <v>453</v>
      </c>
      <c r="D81" s="117">
        <v>2027</v>
      </c>
      <c r="E81" s="117">
        <v>2028</v>
      </c>
      <c r="F81" s="117">
        <v>2029</v>
      </c>
      <c r="G81" s="117">
        <v>2030</v>
      </c>
      <c r="H81" s="117">
        <v>2031</v>
      </c>
      <c r="I81" s="117">
        <v>2032</v>
      </c>
      <c r="J81" s="117">
        <v>2033</v>
      </c>
      <c r="K81" s="117">
        <v>2034</v>
      </c>
      <c r="L81" s="117">
        <v>2035</v>
      </c>
      <c r="M81" s="117">
        <v>2036</v>
      </c>
      <c r="N81" s="117">
        <v>2037</v>
      </c>
      <c r="O81" s="117">
        <v>2038</v>
      </c>
      <c r="P81" s="117">
        <v>2039</v>
      </c>
      <c r="Q81" s="117">
        <v>2040</v>
      </c>
      <c r="R81" s="117">
        <v>2041</v>
      </c>
      <c r="S81" s="117">
        <v>2042</v>
      </c>
      <c r="T81" s="117">
        <v>2043</v>
      </c>
      <c r="U81" s="117">
        <v>2044</v>
      </c>
      <c r="V81" s="117">
        <v>2045</v>
      </c>
      <c r="W81" s="117">
        <v>2046</v>
      </c>
      <c r="X81" s="117">
        <v>2047</v>
      </c>
      <c r="Y81" s="117">
        <v>2048</v>
      </c>
      <c r="Z81" s="117">
        <v>2049</v>
      </c>
      <c r="AA81" s="117">
        <v>2050</v>
      </c>
      <c r="AB81" s="117">
        <v>2051</v>
      </c>
      <c r="AC81" s="117">
        <v>2052</v>
      </c>
      <c r="AD81" s="117">
        <v>2053</v>
      </c>
      <c r="AE81" s="117">
        <v>2054</v>
      </c>
      <c r="AF81" s="117">
        <v>2055</v>
      </c>
      <c r="AG81" s="117">
        <v>2056</v>
      </c>
      <c r="AH81" s="117">
        <v>2057</v>
      </c>
      <c r="AI81" s="117">
        <v>2058</v>
      </c>
      <c r="AJ81" s="117">
        <v>2059</v>
      </c>
      <c r="AK81" s="117">
        <v>2060</v>
      </c>
    </row>
    <row r="82" spans="1:37" x14ac:dyDescent="0.2">
      <c r="A82" t="s">
        <v>495</v>
      </c>
      <c r="B82" t="s">
        <v>453</v>
      </c>
      <c r="C82" t="s">
        <v>453</v>
      </c>
      <c r="D82">
        <f>Modello_Pess!AA5</f>
        <v>0</v>
      </c>
      <c r="E82">
        <f>Modello_Pess!AA6</f>
        <v>0</v>
      </c>
      <c r="F82">
        <f>Modello_Pess!AA7</f>
        <v>0</v>
      </c>
      <c r="G82">
        <f>Modello_Pess!AA8</f>
        <v>0</v>
      </c>
      <c r="H82">
        <f>Modello_Pess!AA9</f>
        <v>0</v>
      </c>
      <c r="I82">
        <f>Modello_Pess!AA10</f>
        <v>0</v>
      </c>
      <c r="J82">
        <f>Modello_Pess!AA11</f>
        <v>0</v>
      </c>
      <c r="K82">
        <f>Modello_Pess!AA12</f>
        <v>0</v>
      </c>
      <c r="L82">
        <f>Modello_Pess!AA13</f>
        <v>0</v>
      </c>
      <c r="M82">
        <f>Modello_Pess!AA14</f>
        <v>0</v>
      </c>
      <c r="N82">
        <f>Modello_Pess!AA15</f>
        <v>0</v>
      </c>
      <c r="O82">
        <f>Modello_Pess!AA16</f>
        <v>0</v>
      </c>
      <c r="P82">
        <f>Modello_Pess!AA17</f>
        <v>0</v>
      </c>
      <c r="Q82">
        <f>Modello_Pess!AA18</f>
        <v>0</v>
      </c>
      <c r="R82">
        <f>Modello_Pess!AA19</f>
        <v>0</v>
      </c>
      <c r="S82">
        <f>Modello_Pess!AA20</f>
        <v>0</v>
      </c>
      <c r="T82">
        <f>Modello_Pess!AA21</f>
        <v>0</v>
      </c>
      <c r="U82">
        <f>Modello_Pess!AA22</f>
        <v>0</v>
      </c>
      <c r="V82">
        <f>Modello_Pess!AA23</f>
        <v>0</v>
      </c>
      <c r="W82">
        <f>Modello_Pess!AA24</f>
        <v>0</v>
      </c>
      <c r="X82">
        <f>Modello_Pess!AA25</f>
        <v>0</v>
      </c>
      <c r="Y82">
        <f>Modello_Pess!AA26</f>
        <v>0</v>
      </c>
      <c r="Z82">
        <f>Modello_Pess!AA27</f>
        <v>0</v>
      </c>
      <c r="AA82">
        <f>Modello_Pess!AA28</f>
        <v>0</v>
      </c>
      <c r="AB82">
        <f>Modello_Pess!AA29</f>
        <v>0</v>
      </c>
      <c r="AC82">
        <f>Modello_Pess!AA30</f>
        <v>0</v>
      </c>
      <c r="AD82">
        <f>Modello_Pess!AA31</f>
        <v>0</v>
      </c>
      <c r="AE82">
        <f>Modello_Pess!AA32</f>
        <v>0</v>
      </c>
      <c r="AF82">
        <f>Modello_Pess!AA33</f>
        <v>0</v>
      </c>
      <c r="AG82">
        <f>Modello_Pess!AA34</f>
        <v>0</v>
      </c>
      <c r="AH82">
        <f>Modello_Pess!AA35</f>
        <v>0</v>
      </c>
      <c r="AI82">
        <f>Modello_Pess!AA36</f>
        <v>0</v>
      </c>
      <c r="AJ82">
        <f>Modello_Pess!AA37</f>
        <v>0</v>
      </c>
      <c r="AK82">
        <f>Modello_Pess!AA38</f>
        <v>0</v>
      </c>
    </row>
    <row r="83" spans="1:37" x14ac:dyDescent="0.2">
      <c r="A83" t="s">
        <v>479</v>
      </c>
      <c r="B83" t="s">
        <v>453</v>
      </c>
      <c r="C83" t="s">
        <v>453</v>
      </c>
      <c r="D83">
        <f>SUM(Modello_Pess!AA$5:AA5)</f>
        <v>0</v>
      </c>
      <c r="E83">
        <f>SUM(Modello_Pess!AA$5:AA6)</f>
        <v>0</v>
      </c>
      <c r="F83">
        <f>SUM(Modello_Pess!AA$5:AA7)</f>
        <v>0</v>
      </c>
      <c r="G83">
        <f>SUM(Modello_Pess!AA$5:AA8)</f>
        <v>0</v>
      </c>
      <c r="H83">
        <f>SUM(Modello_Pess!AA$5:AA9)</f>
        <v>0</v>
      </c>
      <c r="I83">
        <f>SUM(Modello_Pess!AA$5:AA10)</f>
        <v>0</v>
      </c>
      <c r="J83">
        <f>SUM(Modello_Pess!AA$5:AA11)</f>
        <v>0</v>
      </c>
      <c r="K83">
        <f>SUM(Modello_Pess!AA$5:AA12)</f>
        <v>0</v>
      </c>
      <c r="L83">
        <f>SUM(Modello_Pess!AA$5:AA13)</f>
        <v>0</v>
      </c>
      <c r="M83">
        <f>SUM(Modello_Pess!AA$5:AA14)</f>
        <v>0</v>
      </c>
      <c r="N83">
        <f>SUM(Modello_Pess!AA$5:AA15)</f>
        <v>0</v>
      </c>
      <c r="O83">
        <f>SUM(Modello_Pess!AA$5:AA16)</f>
        <v>0</v>
      </c>
      <c r="P83">
        <f>SUM(Modello_Pess!AA$5:AA17)</f>
        <v>0</v>
      </c>
      <c r="Q83">
        <f>SUM(Modello_Pess!AA$5:AA18)</f>
        <v>0</v>
      </c>
      <c r="R83">
        <f>SUM(Modello_Pess!AA$5:AA19)</f>
        <v>0</v>
      </c>
      <c r="S83">
        <f>SUM(Modello_Pess!AA$5:AA20)</f>
        <v>0</v>
      </c>
      <c r="T83">
        <f>SUM(Modello_Pess!AA$5:AA21)</f>
        <v>0</v>
      </c>
      <c r="U83">
        <f>SUM(Modello_Pess!AA$5:AA22)</f>
        <v>0</v>
      </c>
      <c r="V83">
        <f>SUM(Modello_Pess!AA$5:AA23)</f>
        <v>0</v>
      </c>
      <c r="W83">
        <f>SUM(Modello_Pess!AA$5:AA24)</f>
        <v>0</v>
      </c>
      <c r="X83">
        <f>SUM(Modello_Pess!AA$5:AA25)</f>
        <v>0</v>
      </c>
      <c r="Y83">
        <f>SUM(Modello_Pess!AA$5:AA26)</f>
        <v>0</v>
      </c>
      <c r="Z83">
        <f>SUM(Modello_Pess!AA$5:AA27)</f>
        <v>0</v>
      </c>
      <c r="AA83">
        <f>SUM(Modello_Pess!AA$5:AA28)</f>
        <v>0</v>
      </c>
      <c r="AB83">
        <f>SUM(Modello_Pess!AA$5:AA29)</f>
        <v>0</v>
      </c>
      <c r="AC83">
        <f>SUM(Modello_Pess!AA$5:AA30)</f>
        <v>0</v>
      </c>
      <c r="AD83">
        <f>SUM(Modello_Pess!AA$5:AA31)</f>
        <v>0</v>
      </c>
      <c r="AE83">
        <f>SUM(Modello_Pess!AA$5:AA32)</f>
        <v>0</v>
      </c>
      <c r="AF83">
        <f>SUM(Modello_Pess!AA$5:AA33)</f>
        <v>0</v>
      </c>
      <c r="AG83">
        <f>SUM(Modello_Pess!AA$5:AA34)</f>
        <v>0</v>
      </c>
      <c r="AH83">
        <f>SUM(Modello_Pess!AA$5:AA35)</f>
        <v>0</v>
      </c>
      <c r="AI83">
        <f>SUM(Modello_Pess!AA$5:AA36)</f>
        <v>0</v>
      </c>
      <c r="AJ83">
        <f>SUM(Modello_Pess!AA$5:AA37)</f>
        <v>0</v>
      </c>
      <c r="AK83">
        <f>SUM(Modello_Pess!AA$5:AA38)</f>
        <v>0</v>
      </c>
    </row>
    <row r="84" spans="1:37" x14ac:dyDescent="0.2">
      <c r="A84" t="s">
        <v>480</v>
      </c>
      <c r="B84">
        <f>Parametri!$B$161</f>
        <v>0.02</v>
      </c>
      <c r="C84" t="s">
        <v>453</v>
      </c>
      <c r="D84">
        <f>Parametri!$B$161*D83</f>
        <v>0</v>
      </c>
      <c r="E84">
        <f>Parametri!$B$161*E83</f>
        <v>0</v>
      </c>
      <c r="F84">
        <f>Parametri!$B$161*F83</f>
        <v>0</v>
      </c>
      <c r="G84">
        <f>Parametri!$B$161*G83</f>
        <v>0</v>
      </c>
      <c r="H84">
        <f>Parametri!$B$161*H83</f>
        <v>0</v>
      </c>
      <c r="I84">
        <f>Parametri!$B$161*I83</f>
        <v>0</v>
      </c>
      <c r="J84">
        <f>Parametri!$B$161*J83</f>
        <v>0</v>
      </c>
      <c r="K84">
        <f>Parametri!$B$161*K83</f>
        <v>0</v>
      </c>
      <c r="L84">
        <f>Parametri!$B$161*L83</f>
        <v>0</v>
      </c>
      <c r="M84">
        <f>Parametri!$B$161*M83</f>
        <v>0</v>
      </c>
      <c r="N84">
        <f>Parametri!$B$161*N83</f>
        <v>0</v>
      </c>
      <c r="O84">
        <f>Parametri!$B$161*O83</f>
        <v>0</v>
      </c>
      <c r="P84">
        <f>Parametri!$B$161*P83</f>
        <v>0</v>
      </c>
      <c r="Q84">
        <f>Parametri!$B$161*Q83</f>
        <v>0</v>
      </c>
      <c r="R84">
        <f>Parametri!$B$161*R83</f>
        <v>0</v>
      </c>
      <c r="S84">
        <f>Parametri!$B$161*S83</f>
        <v>0</v>
      </c>
      <c r="T84">
        <f>Parametri!$B$161*T83</f>
        <v>0</v>
      </c>
      <c r="U84">
        <f>Parametri!$B$161*U83</f>
        <v>0</v>
      </c>
      <c r="V84">
        <f>Parametri!$B$161*V83</f>
        <v>0</v>
      </c>
      <c r="W84">
        <f>Parametri!$B$161*W83</f>
        <v>0</v>
      </c>
      <c r="X84">
        <f>Parametri!$B$161*X83</f>
        <v>0</v>
      </c>
      <c r="Y84">
        <f>Parametri!$B$161*Y83</f>
        <v>0</v>
      </c>
      <c r="Z84">
        <f>Parametri!$B$161*Z83</f>
        <v>0</v>
      </c>
      <c r="AA84">
        <f>Parametri!$B$161*AA83</f>
        <v>0</v>
      </c>
      <c r="AB84">
        <f>Parametri!$B$161*AB83</f>
        <v>0</v>
      </c>
      <c r="AC84">
        <f>Parametri!$B$161*AC83</f>
        <v>0</v>
      </c>
      <c r="AD84">
        <f>Parametri!$B$161*AD83</f>
        <v>0</v>
      </c>
      <c r="AE84">
        <f>Parametri!$B$161*AE83</f>
        <v>0</v>
      </c>
      <c r="AF84">
        <f>Parametri!$B$161*AF83</f>
        <v>0</v>
      </c>
      <c r="AG84">
        <f>Parametri!$B$161*AG83</f>
        <v>0</v>
      </c>
      <c r="AH84">
        <f>Parametri!$B$161*AH83</f>
        <v>0</v>
      </c>
      <c r="AI84">
        <f>Parametri!$B$161*AI83</f>
        <v>0</v>
      </c>
      <c r="AJ84">
        <f>Parametri!$B$161*AJ83</f>
        <v>0</v>
      </c>
      <c r="AK84">
        <f>Parametri!$B$161*AK83</f>
        <v>0</v>
      </c>
    </row>
    <row r="85" spans="1:37" x14ac:dyDescent="0.2">
      <c r="A85" t="s">
        <v>481</v>
      </c>
      <c r="B85" t="s">
        <v>453</v>
      </c>
      <c r="C85" t="s">
        <v>453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f>Modello_Pess!AA5</f>
        <v>0</v>
      </c>
      <c r="T85">
        <f>Modello_Pess!AA6</f>
        <v>0</v>
      </c>
      <c r="U85">
        <f>Modello_Pess!AA7</f>
        <v>0</v>
      </c>
      <c r="V85">
        <f>Modello_Pess!AA8</f>
        <v>0</v>
      </c>
      <c r="W85">
        <f>Modello_Pess!AA9</f>
        <v>0</v>
      </c>
      <c r="X85">
        <f>Modello_Pess!AA10</f>
        <v>0</v>
      </c>
      <c r="Y85">
        <f>Modello_Pess!AA11</f>
        <v>0</v>
      </c>
      <c r="Z85">
        <f>Modello_Pess!AA12</f>
        <v>0</v>
      </c>
      <c r="AA85">
        <f>Modello_Pess!AA13</f>
        <v>0</v>
      </c>
      <c r="AB85">
        <f>Modello_Pess!AA14</f>
        <v>0</v>
      </c>
      <c r="AC85">
        <f>Modello_Pess!AA15</f>
        <v>0</v>
      </c>
      <c r="AD85">
        <f>Modello_Pess!AA16</f>
        <v>0</v>
      </c>
      <c r="AE85">
        <f>Modello_Pess!AA17</f>
        <v>0</v>
      </c>
      <c r="AF85">
        <f>Modello_Pess!AA18</f>
        <v>0</v>
      </c>
      <c r="AG85">
        <f>Modello_Pess!AA19</f>
        <v>0</v>
      </c>
      <c r="AH85">
        <f>Modello_Pess!AA20</f>
        <v>0</v>
      </c>
      <c r="AI85">
        <f>Modello_Pess!AA21</f>
        <v>0</v>
      </c>
      <c r="AJ85">
        <f>Modello_Pess!AA22</f>
        <v>0</v>
      </c>
      <c r="AK85">
        <f>Modello_Pess!AA23</f>
        <v>0</v>
      </c>
    </row>
    <row r="86" spans="1:37" x14ac:dyDescent="0.2">
      <c r="A86" t="s">
        <v>482</v>
      </c>
      <c r="B86" t="s">
        <v>453</v>
      </c>
      <c r="C86" t="s">
        <v>453</v>
      </c>
      <c r="D86">
        <f>D84</f>
        <v>0</v>
      </c>
      <c r="E86">
        <f t="shared" ref="E86:AK86" si="25">D86+E84</f>
        <v>0</v>
      </c>
      <c r="F86">
        <f t="shared" si="25"/>
        <v>0</v>
      </c>
      <c r="G86">
        <f t="shared" si="25"/>
        <v>0</v>
      </c>
      <c r="H86">
        <f t="shared" si="25"/>
        <v>0</v>
      </c>
      <c r="I86">
        <f t="shared" si="25"/>
        <v>0</v>
      </c>
      <c r="J86">
        <f t="shared" si="25"/>
        <v>0</v>
      </c>
      <c r="K86">
        <f t="shared" si="25"/>
        <v>0</v>
      </c>
      <c r="L86">
        <f t="shared" si="25"/>
        <v>0</v>
      </c>
      <c r="M86">
        <f t="shared" si="25"/>
        <v>0</v>
      </c>
      <c r="N86">
        <f t="shared" si="25"/>
        <v>0</v>
      </c>
      <c r="O86">
        <f t="shared" si="25"/>
        <v>0</v>
      </c>
      <c r="P86">
        <f t="shared" si="25"/>
        <v>0</v>
      </c>
      <c r="Q86">
        <f t="shared" si="25"/>
        <v>0</v>
      </c>
      <c r="R86">
        <f t="shared" si="25"/>
        <v>0</v>
      </c>
      <c r="S86">
        <f t="shared" si="25"/>
        <v>0</v>
      </c>
      <c r="T86">
        <f t="shared" si="25"/>
        <v>0</v>
      </c>
      <c r="U86">
        <f t="shared" si="25"/>
        <v>0</v>
      </c>
      <c r="V86">
        <f t="shared" si="25"/>
        <v>0</v>
      </c>
      <c r="W86">
        <f t="shared" si="25"/>
        <v>0</v>
      </c>
      <c r="X86">
        <f t="shared" si="25"/>
        <v>0</v>
      </c>
      <c r="Y86">
        <f t="shared" si="25"/>
        <v>0</v>
      </c>
      <c r="Z86">
        <f t="shared" si="25"/>
        <v>0</v>
      </c>
      <c r="AA86">
        <f t="shared" si="25"/>
        <v>0</v>
      </c>
      <c r="AB86">
        <f t="shared" si="25"/>
        <v>0</v>
      </c>
      <c r="AC86">
        <f t="shared" si="25"/>
        <v>0</v>
      </c>
      <c r="AD86">
        <f t="shared" si="25"/>
        <v>0</v>
      </c>
      <c r="AE86">
        <f t="shared" si="25"/>
        <v>0</v>
      </c>
      <c r="AF86">
        <f t="shared" si="25"/>
        <v>0</v>
      </c>
      <c r="AG86">
        <f t="shared" si="25"/>
        <v>0</v>
      </c>
      <c r="AH86">
        <f t="shared" si="25"/>
        <v>0</v>
      </c>
      <c r="AI86">
        <f t="shared" si="25"/>
        <v>0</v>
      </c>
      <c r="AJ86">
        <f t="shared" si="25"/>
        <v>0</v>
      </c>
      <c r="AK86">
        <f t="shared" si="25"/>
        <v>0</v>
      </c>
    </row>
    <row r="87" spans="1:37" x14ac:dyDescent="0.2">
      <c r="A87" t="s">
        <v>483</v>
      </c>
      <c r="B87" t="s">
        <v>453</v>
      </c>
      <c r="C87" t="s">
        <v>453</v>
      </c>
      <c r="D87">
        <f t="shared" ref="D87:AK87" si="26">D84+D85</f>
        <v>0</v>
      </c>
      <c r="E87">
        <f t="shared" si="26"/>
        <v>0</v>
      </c>
      <c r="F87">
        <f t="shared" si="26"/>
        <v>0</v>
      </c>
      <c r="G87">
        <f t="shared" si="26"/>
        <v>0</v>
      </c>
      <c r="H87">
        <f t="shared" si="26"/>
        <v>0</v>
      </c>
      <c r="I87">
        <f t="shared" si="26"/>
        <v>0</v>
      </c>
      <c r="J87">
        <f t="shared" si="26"/>
        <v>0</v>
      </c>
      <c r="K87">
        <f t="shared" si="26"/>
        <v>0</v>
      </c>
      <c r="L87">
        <f t="shared" si="26"/>
        <v>0</v>
      </c>
      <c r="M87">
        <f t="shared" si="26"/>
        <v>0</v>
      </c>
      <c r="N87">
        <f t="shared" si="26"/>
        <v>0</v>
      </c>
      <c r="O87">
        <f t="shared" si="26"/>
        <v>0</v>
      </c>
      <c r="P87">
        <f t="shared" si="26"/>
        <v>0</v>
      </c>
      <c r="Q87">
        <f t="shared" si="26"/>
        <v>0</v>
      </c>
      <c r="R87">
        <f t="shared" si="26"/>
        <v>0</v>
      </c>
      <c r="S87">
        <f t="shared" si="26"/>
        <v>0</v>
      </c>
      <c r="T87">
        <f t="shared" si="26"/>
        <v>0</v>
      </c>
      <c r="U87">
        <f t="shared" si="26"/>
        <v>0</v>
      </c>
      <c r="V87">
        <f t="shared" si="26"/>
        <v>0</v>
      </c>
      <c r="W87">
        <f t="shared" si="26"/>
        <v>0</v>
      </c>
      <c r="X87">
        <f t="shared" si="26"/>
        <v>0</v>
      </c>
      <c r="Y87">
        <f t="shared" si="26"/>
        <v>0</v>
      </c>
      <c r="Z87">
        <f t="shared" si="26"/>
        <v>0</v>
      </c>
      <c r="AA87">
        <f t="shared" si="26"/>
        <v>0</v>
      </c>
      <c r="AB87">
        <f t="shared" si="26"/>
        <v>0</v>
      </c>
      <c r="AC87">
        <f t="shared" si="26"/>
        <v>0</v>
      </c>
      <c r="AD87">
        <f t="shared" si="26"/>
        <v>0</v>
      </c>
      <c r="AE87">
        <f t="shared" si="26"/>
        <v>0</v>
      </c>
      <c r="AF87">
        <f t="shared" si="26"/>
        <v>0</v>
      </c>
      <c r="AG87">
        <f t="shared" si="26"/>
        <v>0</v>
      </c>
      <c r="AH87">
        <f t="shared" si="26"/>
        <v>0</v>
      </c>
      <c r="AI87">
        <f t="shared" si="26"/>
        <v>0</v>
      </c>
      <c r="AJ87">
        <f t="shared" si="26"/>
        <v>0</v>
      </c>
      <c r="AK87">
        <f t="shared" si="26"/>
        <v>0</v>
      </c>
    </row>
    <row r="88" spans="1:37" x14ac:dyDescent="0.2">
      <c r="A88" t="s">
        <v>496</v>
      </c>
      <c r="B88" t="s">
        <v>453</v>
      </c>
      <c r="C88" t="s">
        <v>453</v>
      </c>
      <c r="D88">
        <f>Modello_Pess!AB5-D83</f>
        <v>3.0838500000000004</v>
      </c>
      <c r="E88">
        <f>Modello_Pess!AB6-E83</f>
        <v>6.6781740960000011</v>
      </c>
      <c r="F88">
        <f>Modello_Pess!AB7-F83</f>
        <v>10.784718267750002</v>
      </c>
      <c r="G88">
        <f>Modello_Pess!AB8-G83</f>
        <v>15.405266529443701</v>
      </c>
      <c r="H88">
        <f>Modello_Pess!AB9-H83</f>
        <v>20.541641015090082</v>
      </c>
      <c r="I88">
        <f>Modello_Pess!AB10-I83</f>
        <v>26.195702065467664</v>
      </c>
      <c r="J88">
        <f>Modello_Pess!AB11-J83</f>
        <v>32.01692814330373</v>
      </c>
      <c r="K88">
        <f>Modello_Pess!AB12-K83</f>
        <v>38.006014819260571</v>
      </c>
      <c r="L88">
        <f>Modello_Pess!AB13-L83</f>
        <v>44.163669709647898</v>
      </c>
      <c r="M88">
        <f>Modello_Pess!AB14-M83</f>
        <v>50.490612507667578</v>
      </c>
      <c r="N88">
        <f>Modello_Pess!AB15-N83</f>
        <v>56.987575015156182</v>
      </c>
      <c r="O88">
        <f>Modello_Pess!AB16-O83</f>
        <v>63.655301174826477</v>
      </c>
      <c r="P88">
        <f>Modello_Pess!AB17-P83</f>
        <v>70.494547103008969</v>
      </c>
      <c r="Q88">
        <f>Modello_Pess!AB18-Q83</f>
        <v>77.506081122894699</v>
      </c>
      <c r="R88">
        <f>Modello_Pess!AB19-R83</f>
        <v>84.690683798280475</v>
      </c>
      <c r="S88">
        <f>Modello_Pess!AB20-S83</f>
        <v>88.965297967817705</v>
      </c>
      <c r="T88">
        <f>Modello_Pess!AB21-T83</f>
        <v>92.904104683766022</v>
      </c>
      <c r="U88">
        <f>Modello_Pess!AB22-U83</f>
        <v>96.506175459503055</v>
      </c>
      <c r="V88">
        <f>Modello_Pess!AB23-V83</f>
        <v>99.770556154597728</v>
      </c>
      <c r="W88">
        <f>Modello_Pess!AB24-W83</f>
        <v>102.69626692571428</v>
      </c>
      <c r="X88">
        <f>Modello_Pess!AB25-X83</f>
        <v>97.042205875336691</v>
      </c>
      <c r="Y88">
        <f>Modello_Pess!AB26-Y83</f>
        <v>91.220979797500632</v>
      </c>
      <c r="Z88">
        <f>Modello_Pess!AB27-Z83</f>
        <v>85.231893121543791</v>
      </c>
      <c r="AA88">
        <f>Modello_Pess!AB28-AA83</f>
        <v>79.074238231156471</v>
      </c>
      <c r="AB88">
        <f>Modello_Pess!AB29-AB83</f>
        <v>72.747295433136784</v>
      </c>
      <c r="AC88">
        <f>Modello_Pess!AB30-AC83</f>
        <v>66.250332925648181</v>
      </c>
      <c r="AD88">
        <f>Modello_Pess!AB31-AD83</f>
        <v>59.582606765977886</v>
      </c>
      <c r="AE88">
        <f>Modello_Pess!AB32-AE83</f>
        <v>52.743360837795393</v>
      </c>
      <c r="AF88">
        <f>Modello_Pess!AB33-AF83</f>
        <v>45.731826817909663</v>
      </c>
      <c r="AG88">
        <f>Modello_Pess!AB34-AG83</f>
        <v>38.547224142523888</v>
      </c>
      <c r="AH88">
        <f>Modello_Pess!AB35-AH83</f>
        <v>31.188759972986659</v>
      </c>
      <c r="AI88">
        <f>Modello_Pess!AB36-AI83</f>
        <v>23.655629161038334</v>
      </c>
      <c r="AJ88">
        <f>Modello_Pess!AB37-AJ83</f>
        <v>15.947014213551299</v>
      </c>
      <c r="AK88">
        <f>Modello_Pess!AB38-AK83</f>
        <v>8.0620852567629413</v>
      </c>
    </row>
    <row r="89" spans="1:37" x14ac:dyDescent="0.2">
      <c r="A89" t="s">
        <v>485</v>
      </c>
      <c r="B89" t="s">
        <v>453</v>
      </c>
      <c r="C89" t="s">
        <v>453</v>
      </c>
      <c r="D89">
        <f>IFERROR(D83/Modello_Pess!AB5,0)</f>
        <v>0</v>
      </c>
      <c r="E89">
        <f>IFERROR(E83/Modello_Pess!AB6,0)</f>
        <v>0</v>
      </c>
      <c r="F89">
        <f>IFERROR(F83/Modello_Pess!AB7,0)</f>
        <v>0</v>
      </c>
      <c r="G89">
        <f>IFERROR(G83/Modello_Pess!AB8,0)</f>
        <v>0</v>
      </c>
      <c r="H89">
        <f>IFERROR(H83/Modello_Pess!AB9,0)</f>
        <v>0</v>
      </c>
      <c r="I89">
        <f>IFERROR(I83/Modello_Pess!AB10,0)</f>
        <v>0</v>
      </c>
      <c r="J89">
        <f>IFERROR(J83/Modello_Pess!AB11,0)</f>
        <v>0</v>
      </c>
      <c r="K89">
        <f>IFERROR(K83/Modello_Pess!AB12,0)</f>
        <v>0</v>
      </c>
      <c r="L89">
        <f>IFERROR(L83/Modello_Pess!AB13,0)</f>
        <v>0</v>
      </c>
      <c r="M89">
        <f>IFERROR(M83/Modello_Pess!AB14,0)</f>
        <v>0</v>
      </c>
      <c r="N89">
        <f>IFERROR(N83/Modello_Pess!AB15,0)</f>
        <v>0</v>
      </c>
      <c r="O89">
        <f>IFERROR(O83/Modello_Pess!AB16,0)</f>
        <v>0</v>
      </c>
      <c r="P89">
        <f>IFERROR(P83/Modello_Pess!AB17,0)</f>
        <v>0</v>
      </c>
      <c r="Q89">
        <f>IFERROR(Q83/Modello_Pess!AB18,0)</f>
        <v>0</v>
      </c>
      <c r="R89">
        <f>IFERROR(R83/Modello_Pess!AB19,0)</f>
        <v>0</v>
      </c>
      <c r="S89">
        <f>IFERROR(S83/Modello_Pess!AB20,0)</f>
        <v>0</v>
      </c>
      <c r="T89">
        <f>IFERROR(T83/Modello_Pess!AB21,0)</f>
        <v>0</v>
      </c>
      <c r="U89">
        <f>IFERROR(U83/Modello_Pess!AB22,0)</f>
        <v>0</v>
      </c>
      <c r="V89">
        <f>IFERROR(V83/Modello_Pess!AB23,0)</f>
        <v>0</v>
      </c>
      <c r="W89">
        <f>IFERROR(W83/Modello_Pess!AB24,0)</f>
        <v>0</v>
      </c>
      <c r="X89">
        <f>IFERROR(X83/Modello_Pess!AB25,0)</f>
        <v>0</v>
      </c>
      <c r="Y89">
        <f>IFERROR(Y83/Modello_Pess!AB26,0)</f>
        <v>0</v>
      </c>
      <c r="Z89">
        <f>IFERROR(Z83/Modello_Pess!AB27,0)</f>
        <v>0</v>
      </c>
      <c r="AA89">
        <f>IFERROR(AA83/Modello_Pess!AB28,0)</f>
        <v>0</v>
      </c>
      <c r="AB89">
        <f>IFERROR(AB83/Modello_Pess!AB29,0)</f>
        <v>0</v>
      </c>
      <c r="AC89">
        <f>IFERROR(AC83/Modello_Pess!AB30,0)</f>
        <v>0</v>
      </c>
      <c r="AD89">
        <f>IFERROR(AD83/Modello_Pess!AB31,0)</f>
        <v>0</v>
      </c>
      <c r="AE89">
        <f>IFERROR(AE83/Modello_Pess!AB32,0)</f>
        <v>0</v>
      </c>
      <c r="AF89">
        <f>IFERROR(AF83/Modello_Pess!AB33,0)</f>
        <v>0</v>
      </c>
      <c r="AG89">
        <f>IFERROR(AG83/Modello_Pess!AB34,0)</f>
        <v>0</v>
      </c>
      <c r="AH89">
        <f>IFERROR(AH83/Modello_Pess!AB35,0)</f>
        <v>0</v>
      </c>
      <c r="AI89">
        <f>IFERROR(AI83/Modello_Pess!AB36,0)</f>
        <v>0</v>
      </c>
      <c r="AJ89">
        <f>IFERROR(AJ83/Modello_Pess!AB37,0)</f>
        <v>0</v>
      </c>
      <c r="AK89">
        <f>IFERROR(AK83/Modello_Pess!AB38,0)</f>
        <v>0</v>
      </c>
    </row>
    <row r="90" spans="1:37" x14ac:dyDescent="0.2">
      <c r="A90" t="s">
        <v>497</v>
      </c>
      <c r="B90" t="s">
        <v>453</v>
      </c>
      <c r="C90" t="s">
        <v>453</v>
      </c>
      <c r="D90">
        <f>-Modello_Pess!AC5</f>
        <v>4.6257750000000007E-2</v>
      </c>
      <c r="E90">
        <f>-Modello_Pess!AC6</f>
        <v>0.10017261144000002</v>
      </c>
      <c r="F90">
        <f>-Modello_Pess!AC7</f>
        <v>0.16177077401625001</v>
      </c>
      <c r="G90">
        <f>-Modello_Pess!AC8</f>
        <v>0.23107899794165551</v>
      </c>
      <c r="H90">
        <f>-Modello_Pess!AC9</f>
        <v>0.30812461522635121</v>
      </c>
      <c r="I90">
        <f>-Modello_Pess!AC10</f>
        <v>0.39293553098201495</v>
      </c>
      <c r="J90">
        <f>-Modello_Pess!AC11</f>
        <v>0.48025392214955592</v>
      </c>
      <c r="K90">
        <f>-Modello_Pess!AC12</f>
        <v>0.57009022228890849</v>
      </c>
      <c r="L90">
        <f>-Modello_Pess!AC13</f>
        <v>0.66245504564471847</v>
      </c>
      <c r="M90">
        <f>-Modello_Pess!AC14</f>
        <v>0.75735918761501364</v>
      </c>
      <c r="N90">
        <f>-Modello_Pess!AC15</f>
        <v>0.85481362522734272</v>
      </c>
      <c r="O90">
        <f>-Modello_Pess!AC16</f>
        <v>0.95482951762239709</v>
      </c>
      <c r="P90">
        <f>-Modello_Pess!AC17</f>
        <v>1.0574182065451345</v>
      </c>
      <c r="Q90">
        <f>-Modello_Pess!AC18</f>
        <v>1.1625912168434205</v>
      </c>
      <c r="R90">
        <f>-Modello_Pess!AC19</f>
        <v>1.2703602569742072</v>
      </c>
      <c r="S90">
        <f>-Modello_Pess!AC20</f>
        <v>1.3807372195172656</v>
      </c>
      <c r="T90">
        <f>-Modello_Pess!AC21</f>
        <v>1.4937341816964904</v>
      </c>
      <c r="U90">
        <f>-Modello_Pess!AC22</f>
        <v>1.6093634059087958</v>
      </c>
      <c r="V90">
        <f>-Modello_Pess!AC23</f>
        <v>1.7276373402606213</v>
      </c>
      <c r="W90">
        <f>-Modello_Pess!AC24</f>
        <v>1.8485686191120654</v>
      </c>
      <c r="X90">
        <f>-Modello_Pess!AC25</f>
        <v>1.8485686191120654</v>
      </c>
      <c r="Y90">
        <f>-Modello_Pess!AC26</f>
        <v>1.8485686191120654</v>
      </c>
      <c r="Z90">
        <f>-Modello_Pess!AC27</f>
        <v>1.8485686191120654</v>
      </c>
      <c r="AA90">
        <f>-Modello_Pess!AC28</f>
        <v>1.8485686191120654</v>
      </c>
      <c r="AB90">
        <f>-Modello_Pess!AC29</f>
        <v>1.8485686191120654</v>
      </c>
      <c r="AC90">
        <f>-Modello_Pess!AC30</f>
        <v>1.8485686191120654</v>
      </c>
      <c r="AD90">
        <f>-Modello_Pess!AC31</f>
        <v>1.8485686191120654</v>
      </c>
      <c r="AE90">
        <f>-Modello_Pess!AC32</f>
        <v>1.8485686191120654</v>
      </c>
      <c r="AF90">
        <f>-Modello_Pess!AC33</f>
        <v>1.8485686191120654</v>
      </c>
      <c r="AG90">
        <f>-Modello_Pess!AC34</f>
        <v>1.8485686191120654</v>
      </c>
      <c r="AH90">
        <f>-Modello_Pess!AC35</f>
        <v>1.8485686191120654</v>
      </c>
      <c r="AI90">
        <f>-Modello_Pess!AC36</f>
        <v>1.8485686191120654</v>
      </c>
      <c r="AJ90">
        <f>-Modello_Pess!AC37</f>
        <v>1.8485686191120654</v>
      </c>
      <c r="AK90">
        <f>-Modello_Pess!AC38</f>
        <v>1.8485686191120654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8"/>
  <sheetViews>
    <sheetView topLeftCell="A6" zoomScaleNormal="100" workbookViewId="0">
      <selection activeCell="F78" sqref="F78"/>
    </sheetView>
  </sheetViews>
  <sheetFormatPr baseColWidth="10" defaultColWidth="8.83203125" defaultRowHeight="15" x14ac:dyDescent="0.2"/>
  <cols>
    <col min="1" max="1" width="32.1640625" style="149" customWidth="1"/>
    <col min="2" max="2" width="13.33203125" customWidth="1"/>
    <col min="3" max="6" width="12" customWidth="1"/>
  </cols>
  <sheetData>
    <row r="1" spans="1:12" ht="19.5" customHeight="1" x14ac:dyDescent="0.2">
      <c r="A1" s="195" t="s">
        <v>498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</row>
    <row r="2" spans="1:12" ht="27.75" customHeight="1" x14ac:dyDescent="0.2">
      <c r="A2" s="194" t="s">
        <v>499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4" spans="1:12" ht="15" customHeight="1" x14ac:dyDescent="0.2">
      <c r="A4" s="191" t="s">
        <v>500</v>
      </c>
      <c r="B4" s="192"/>
      <c r="C4" s="192"/>
      <c r="D4" s="192"/>
      <c r="E4" s="192"/>
      <c r="F4" s="193"/>
    </row>
    <row r="5" spans="1:12" ht="15" customHeight="1" x14ac:dyDescent="0.2">
      <c r="A5" s="48" t="s">
        <v>501</v>
      </c>
      <c r="B5" s="48" t="s">
        <v>502</v>
      </c>
      <c r="C5" s="48" t="s">
        <v>503</v>
      </c>
      <c r="D5" s="48" t="s">
        <v>504</v>
      </c>
      <c r="E5" s="48" t="s">
        <v>505</v>
      </c>
      <c r="F5" s="48" t="s">
        <v>506</v>
      </c>
    </row>
    <row r="6" spans="1:12" ht="15" customHeight="1" x14ac:dyDescent="0.2">
      <c r="A6" s="147" t="s">
        <v>458</v>
      </c>
      <c r="B6" s="50"/>
      <c r="C6" s="51">
        <f>Dinamica!AK33/Modello!F38</f>
        <v>0.39434838335110561</v>
      </c>
      <c r="D6" s="51">
        <f>Dinamica!AK34/Modello!F38</f>
        <v>0.42981660692978096</v>
      </c>
      <c r="E6" s="51">
        <f>Dinamica!AK35/Modello!F38</f>
        <v>0.49987628726763567</v>
      </c>
      <c r="F6" s="51">
        <f>Dinamica!AK36/Modello!F38</f>
        <v>0.60678470174905441</v>
      </c>
    </row>
    <row r="7" spans="1:12" ht="15" customHeight="1" x14ac:dyDescent="0.2">
      <c r="A7" s="147" t="s">
        <v>459</v>
      </c>
      <c r="B7" s="50"/>
      <c r="C7" s="51">
        <f>Dinamica!AK37/Modello!F38</f>
        <v>0.39955528562400167</v>
      </c>
      <c r="D7" s="51">
        <f>Dinamica!AK38/Modello!F38</f>
        <v>0.43562317923258137</v>
      </c>
      <c r="E7" s="51">
        <f>Dinamica!AK39/Modello!F38</f>
        <v>0.50686813025710475</v>
      </c>
      <c r="F7" s="51">
        <f>Dinamica!AK40/Modello!F38</f>
        <v>0.61557943191249898</v>
      </c>
    </row>
    <row r="8" spans="1:12" ht="15" customHeight="1" x14ac:dyDescent="0.2">
      <c r="A8" s="147" t="s">
        <v>460</v>
      </c>
      <c r="B8" s="50"/>
      <c r="C8" s="51">
        <f>Dinamica!AK41/Modello!F38</f>
        <v>0.40649782198786322</v>
      </c>
      <c r="D8" s="51">
        <f>Dinamica!AK42/Modello!F38</f>
        <v>0.44336527563631489</v>
      </c>
      <c r="E8" s="51">
        <f>Dinamica!AK43/Modello!F38</f>
        <v>0.5161905875763968</v>
      </c>
      <c r="F8" s="51">
        <f>Dinamica!AK44/Modello!F38</f>
        <v>0.62730573879709128</v>
      </c>
    </row>
    <row r="9" spans="1:12" ht="15" customHeight="1" x14ac:dyDescent="0.2">
      <c r="A9" s="147" t="s">
        <v>461</v>
      </c>
      <c r="B9" s="50"/>
      <c r="C9" s="51">
        <f>Dinamica!AK45/Modello!F38</f>
        <v>0.4134403583517246</v>
      </c>
      <c r="D9" s="51">
        <f>Dinamica!AK46/Modello!F38</f>
        <v>0.45110737204004858</v>
      </c>
      <c r="E9" s="51">
        <f>Dinamica!AK47/Modello!F38</f>
        <v>0.52551304489568929</v>
      </c>
      <c r="F9" s="51">
        <f>Dinamica!AK48/Modello!F38</f>
        <v>0.63903204568168426</v>
      </c>
    </row>
    <row r="11" spans="1:12" ht="15" customHeight="1" x14ac:dyDescent="0.2">
      <c r="A11" s="191" t="s">
        <v>507</v>
      </c>
      <c r="B11" s="192"/>
      <c r="C11" s="192"/>
      <c r="D11" s="192"/>
      <c r="E11" s="192"/>
      <c r="F11" s="193"/>
    </row>
    <row r="12" spans="1:12" ht="15" customHeight="1" x14ac:dyDescent="0.2">
      <c r="A12" s="52" t="s">
        <v>508</v>
      </c>
      <c r="B12" s="52" t="s">
        <v>502</v>
      </c>
      <c r="C12" s="52" t="s">
        <v>503</v>
      </c>
      <c r="D12" s="52" t="s">
        <v>504</v>
      </c>
      <c r="E12" s="52" t="s">
        <v>505</v>
      </c>
      <c r="F12" s="52" t="s">
        <v>506</v>
      </c>
    </row>
    <row r="13" spans="1:12" ht="15" customHeight="1" x14ac:dyDescent="0.2">
      <c r="A13" s="148" t="s">
        <v>458</v>
      </c>
      <c r="B13" s="50"/>
      <c r="C13" s="54">
        <f>Dinamica_Pess!AK33/Modello_Pess!F38</f>
        <v>0.44665211487098716</v>
      </c>
      <c r="D13" s="54">
        <f>Dinamica_Pess!AK34/Modello_Pess!F38</f>
        <v>0.4872944020827909</v>
      </c>
      <c r="E13" s="54">
        <f>Dinamica_Pess!AK35/Modello_Pess!F38</f>
        <v>0.56766799376515564</v>
      </c>
      <c r="F13" s="54">
        <f>Dinamica_Pess!AK36/Modello_Pess!F38</f>
        <v>0.69050747925485978</v>
      </c>
    </row>
    <row r="14" spans="1:12" ht="15" customHeight="1" x14ac:dyDescent="0.2">
      <c r="A14" s="148" t="s">
        <v>459</v>
      </c>
      <c r="B14" s="50"/>
      <c r="C14" s="55">
        <f>Dinamica_Pess!AK37/Modello_Pess!F38</f>
        <v>0.45265885976876041</v>
      </c>
      <c r="D14" s="55">
        <f>Dinamica_Pess!AK38/Modello_Pess!F38</f>
        <v>0.49399592663686348</v>
      </c>
      <c r="E14" s="55">
        <f>Dinamica_Pess!AK39/Modello_Pess!F38</f>
        <v>0.5757434755416021</v>
      </c>
      <c r="F14" s="55">
        <f>Dinamica_Pess!AK40/Modello_Pess!F38</f>
        <v>0.70067427776684599</v>
      </c>
    </row>
    <row r="15" spans="1:12" ht="15" customHeight="1" x14ac:dyDescent="0.2">
      <c r="A15" s="148" t="s">
        <v>460</v>
      </c>
      <c r="B15" s="50"/>
      <c r="C15" s="54">
        <f>Dinamica_Pess!AK41/Modello_Pess!F38</f>
        <v>0.46066785296579144</v>
      </c>
      <c r="D15" s="54">
        <f>Dinamica_Pess!AK42/Modello_Pess!F38</f>
        <v>0.50293129270895931</v>
      </c>
      <c r="E15" s="54">
        <f>Dinamica_Pess!AK43/Modello_Pess!F38</f>
        <v>0.58651078457686379</v>
      </c>
      <c r="F15" s="54">
        <f>Dinamica_Pess!AK44/Modello_Pess!F38</f>
        <v>0.71423000911616052</v>
      </c>
    </row>
    <row r="16" spans="1:12" ht="15" customHeight="1" x14ac:dyDescent="0.2">
      <c r="A16" s="148" t="s">
        <v>461</v>
      </c>
      <c r="B16" s="50"/>
      <c r="C16" s="55">
        <f>Dinamica_Pess!AK45/Modello_Pess!F38</f>
        <v>0.4686768461628224</v>
      </c>
      <c r="D16" s="55">
        <f>Dinamica_Pess!AK46/Modello_Pess!F38</f>
        <v>0.51186665878105575</v>
      </c>
      <c r="E16" s="55">
        <f>Dinamica_Pess!AK47/Modello_Pess!F38</f>
        <v>0.59727809361212592</v>
      </c>
      <c r="F16" s="55">
        <f>Dinamica_Pess!AK48/Modello_Pess!F38</f>
        <v>0.72778574046547562</v>
      </c>
    </row>
    <row r="18" spans="1:6" ht="15" customHeight="1" x14ac:dyDescent="0.2">
      <c r="A18" s="191" t="s">
        <v>509</v>
      </c>
      <c r="B18" s="192"/>
      <c r="C18" s="192"/>
      <c r="D18" s="192"/>
      <c r="E18" s="192"/>
      <c r="F18" s="193"/>
    </row>
    <row r="19" spans="1:6" ht="15" customHeight="1" x14ac:dyDescent="0.2">
      <c r="A19" s="48" t="s">
        <v>501</v>
      </c>
      <c r="B19" s="48" t="s">
        <v>502</v>
      </c>
      <c r="C19" s="48" t="s">
        <v>503</v>
      </c>
      <c r="D19" s="48" t="s">
        <v>504</v>
      </c>
      <c r="E19" s="48" t="s">
        <v>505</v>
      </c>
      <c r="F19" s="48" t="s">
        <v>506</v>
      </c>
    </row>
    <row r="20" spans="1:6" ht="15" customHeight="1" x14ac:dyDescent="0.2">
      <c r="A20" s="147" t="s">
        <v>458</v>
      </c>
      <c r="B20" s="50"/>
      <c r="C20" s="56">
        <f>Dinamica!AK10/Modello!F38</f>
        <v>0.39147051745998385</v>
      </c>
      <c r="D20" s="56">
        <f>Dinamica!AK11/Modello!F38</f>
        <v>0.4269387410386592</v>
      </c>
      <c r="E20" s="56">
        <f>Dinamica!AK12/Modello!F38</f>
        <v>0.4969984213765139</v>
      </c>
      <c r="F20" s="56">
        <f>Dinamica!AK13/Modello!F38</f>
        <v>0.60390683585793259</v>
      </c>
    </row>
    <row r="21" spans="1:6" ht="15" customHeight="1" x14ac:dyDescent="0.2">
      <c r="A21" s="147" t="s">
        <v>459</v>
      </c>
      <c r="B21" s="50"/>
      <c r="C21" s="56">
        <f>Dinamica!AK14/Modello!F38</f>
        <v>0.3966774197328799</v>
      </c>
      <c r="D21" s="56">
        <f>Dinamica!AK15/Modello!F38</f>
        <v>0.43274531334145955</v>
      </c>
      <c r="E21" s="56">
        <f>Dinamica!AK16/Modello!F38</f>
        <v>0.50399026436598293</v>
      </c>
      <c r="F21" s="56">
        <f>Dinamica!AK17/Modello!F38</f>
        <v>0.61270156602137726</v>
      </c>
    </row>
    <row r="22" spans="1:6" ht="15" customHeight="1" x14ac:dyDescent="0.2">
      <c r="A22" s="147" t="s">
        <v>460</v>
      </c>
      <c r="B22" s="50"/>
      <c r="C22" s="56">
        <f>Dinamica!AK18/Modello!F38</f>
        <v>0.40361995609674145</v>
      </c>
      <c r="D22" s="56">
        <f>Dinamica!AK19/Modello!F38</f>
        <v>0.44048740974519313</v>
      </c>
      <c r="E22" s="56">
        <f>Dinamica!AK20/Modello!F38</f>
        <v>0.51331272168527498</v>
      </c>
      <c r="F22" s="56">
        <f>Dinamica!AK21/Modello!F38</f>
        <v>0.62442787290596946</v>
      </c>
    </row>
    <row r="23" spans="1:6" ht="15" customHeight="1" x14ac:dyDescent="0.2">
      <c r="A23" s="147" t="s">
        <v>461</v>
      </c>
      <c r="B23" s="50"/>
      <c r="C23" s="56">
        <f>Dinamica!AK22/Modello!F38</f>
        <v>0.41056249246060278</v>
      </c>
      <c r="D23" s="56">
        <f>Dinamica!AK23/Modello!F38</f>
        <v>0.44822950614892682</v>
      </c>
      <c r="E23" s="56">
        <f>Dinamica!AK24/Modello!F38</f>
        <v>0.52263517900456746</v>
      </c>
      <c r="F23" s="56">
        <f>Dinamica!AK25/Modello!F38</f>
        <v>0.63615417979056255</v>
      </c>
    </row>
    <row r="25" spans="1:6" ht="15" customHeight="1" x14ac:dyDescent="0.2">
      <c r="A25" s="191" t="s">
        <v>510</v>
      </c>
      <c r="B25" s="192"/>
      <c r="C25" s="192"/>
      <c r="D25" s="192"/>
      <c r="E25" s="192"/>
      <c r="F25" s="193"/>
    </row>
    <row r="26" spans="1:6" ht="15" customHeight="1" x14ac:dyDescent="0.2">
      <c r="A26" s="52" t="s">
        <v>508</v>
      </c>
      <c r="B26" s="52" t="s">
        <v>502</v>
      </c>
      <c r="C26" s="52" t="s">
        <v>503</v>
      </c>
      <c r="D26" s="52" t="s">
        <v>504</v>
      </c>
      <c r="E26" s="52" t="s">
        <v>505</v>
      </c>
      <c r="F26" s="52" t="s">
        <v>506</v>
      </c>
    </row>
    <row r="27" spans="1:6" ht="15" customHeight="1" x14ac:dyDescent="0.2">
      <c r="A27" s="148" t="s">
        <v>458</v>
      </c>
      <c r="B27" s="50"/>
      <c r="C27" s="54">
        <f>Dinamica_Pess!AK10/Modello_Pess!F38</f>
        <v>0.44338735974265708</v>
      </c>
      <c r="D27" s="54">
        <f>Dinamica_Pess!AK11/Modello_Pess!F38</f>
        <v>0.48402964695446082</v>
      </c>
      <c r="E27" s="54">
        <f>Dinamica_Pess!AK12/Modello_Pess!F38</f>
        <v>0.56440323863682551</v>
      </c>
      <c r="F27" s="54">
        <f>Dinamica_Pess!AK13/Modello_Pess!F38</f>
        <v>0.68724272412652965</v>
      </c>
    </row>
    <row r="28" spans="1:6" ht="15" customHeight="1" x14ac:dyDescent="0.2">
      <c r="A28" s="148" t="s">
        <v>459</v>
      </c>
      <c r="B28" s="50"/>
      <c r="C28" s="55">
        <f>Dinamica_Pess!AK14/Modello_Pess!F38</f>
        <v>0.44939410464043034</v>
      </c>
      <c r="D28" s="55">
        <f>Dinamica_Pess!AK15/Modello_Pess!F38</f>
        <v>0.49073117150853346</v>
      </c>
      <c r="E28" s="55">
        <f>Dinamica_Pess!AK16/Modello_Pess!F38</f>
        <v>0.57247872041327197</v>
      </c>
      <c r="F28" s="55">
        <f>Dinamica_Pess!AK17/Modello_Pess!F38</f>
        <v>0.69740952263851597</v>
      </c>
    </row>
    <row r="29" spans="1:6" ht="15" customHeight="1" x14ac:dyDescent="0.2">
      <c r="A29" s="148" t="s">
        <v>460</v>
      </c>
      <c r="B29" s="50"/>
      <c r="C29" s="54">
        <f>Dinamica_Pess!AK18/Modello_Pess!F38</f>
        <v>0.45740309783746141</v>
      </c>
      <c r="D29" s="54">
        <f>Dinamica_Pess!AK19/Modello_Pess!F38</f>
        <v>0.49966653758062923</v>
      </c>
      <c r="E29" s="54">
        <f>Dinamica_Pess!AK20/Modello_Pess!F38</f>
        <v>0.58324602944853376</v>
      </c>
      <c r="F29" s="54">
        <f>Dinamica_Pess!AK21/Modello_Pess!F38</f>
        <v>0.7109652539878305</v>
      </c>
    </row>
    <row r="30" spans="1:6" ht="15" customHeight="1" x14ac:dyDescent="0.2">
      <c r="A30" s="148" t="s">
        <v>461</v>
      </c>
      <c r="B30" s="50"/>
      <c r="C30" s="55">
        <f>Dinamica_Pess!AK22/Modello_Pess!F38</f>
        <v>0.46541209103449238</v>
      </c>
      <c r="D30" s="55">
        <f>Dinamica_Pess!AK23/Modello_Pess!F38</f>
        <v>0.50860190365272573</v>
      </c>
      <c r="E30" s="55">
        <f>Dinamica_Pess!AK24/Modello_Pess!F38</f>
        <v>0.59401333848379578</v>
      </c>
      <c r="F30" s="55">
        <f>Dinamica_Pess!AK25/Modello_Pess!F38</f>
        <v>0.7245209853371456</v>
      </c>
    </row>
    <row r="32" spans="1:6" ht="15" customHeight="1" x14ac:dyDescent="0.2">
      <c r="A32" s="191" t="s">
        <v>511</v>
      </c>
      <c r="B32" s="192"/>
      <c r="C32" s="192"/>
      <c r="D32" s="192"/>
      <c r="E32" s="192"/>
      <c r="F32" s="193"/>
    </row>
    <row r="33" spans="1:6" ht="15" customHeight="1" x14ac:dyDescent="0.2">
      <c r="A33" s="48" t="s">
        <v>474</v>
      </c>
      <c r="B33" s="48" t="s">
        <v>512</v>
      </c>
      <c r="C33" s="48" t="s">
        <v>503</v>
      </c>
      <c r="D33" s="48" t="s">
        <v>504</v>
      </c>
      <c r="E33" s="48" t="s">
        <v>505</v>
      </c>
      <c r="F33" s="48" t="s">
        <v>506</v>
      </c>
    </row>
    <row r="34" spans="1:6" ht="15" customHeight="1" x14ac:dyDescent="0.2">
      <c r="A34" s="147" t="s">
        <v>458</v>
      </c>
      <c r="B34" s="50"/>
      <c r="C34" s="56">
        <f>Modello!I38-Modello!K38</f>
        <v>3.1703126421740779E-2</v>
      </c>
      <c r="D34" s="56">
        <f>Modello!I38-Modello!K38</f>
        <v>3.1703126421740779E-2</v>
      </c>
      <c r="E34" s="56">
        <f>Modello!I38-Modello!K38</f>
        <v>3.1703126421740779E-2</v>
      </c>
      <c r="F34" s="56">
        <f>Modello!I38-Modello!K38</f>
        <v>3.1703126421740779E-2</v>
      </c>
    </row>
    <row r="35" spans="1:6" ht="15" customHeight="1" x14ac:dyDescent="0.2">
      <c r="A35" s="147" t="s">
        <v>459</v>
      </c>
      <c r="B35" s="50"/>
      <c r="C35" s="56">
        <f>Modello!I38-Modello!K38</f>
        <v>3.1703126421740779E-2</v>
      </c>
      <c r="D35" s="56">
        <f>Modello!I38-Modello!K38</f>
        <v>3.1703126421740779E-2</v>
      </c>
      <c r="E35" s="56">
        <f>Modello!I38-Modello!K38</f>
        <v>3.1703126421740779E-2</v>
      </c>
      <c r="F35" s="56">
        <f>Modello!I38-Modello!K38</f>
        <v>3.1703126421740779E-2</v>
      </c>
    </row>
    <row r="36" spans="1:6" ht="15" customHeight="1" x14ac:dyDescent="0.2">
      <c r="A36" s="147" t="s">
        <v>460</v>
      </c>
      <c r="B36" s="50"/>
      <c r="C36" s="56">
        <f>Modello!I38-Modello!K38</f>
        <v>3.1703126421740779E-2</v>
      </c>
      <c r="D36" s="56">
        <f>Modello!I38-Modello!K38</f>
        <v>3.1703126421740779E-2</v>
      </c>
      <c r="E36" s="56">
        <f>Modello!I38-Modello!K38</f>
        <v>3.1703126421740779E-2</v>
      </c>
      <c r="F36" s="56">
        <f>Modello!I38-Modello!K38</f>
        <v>3.1703126421740779E-2</v>
      </c>
    </row>
    <row r="37" spans="1:6" ht="15" customHeight="1" x14ac:dyDescent="0.2">
      <c r="A37" s="147" t="s">
        <v>461</v>
      </c>
      <c r="B37" s="50"/>
      <c r="C37" s="56">
        <f>Modello!I38-Modello!K38</f>
        <v>3.1703126421740779E-2</v>
      </c>
      <c r="D37" s="56">
        <f>Modello!I38-Modello!K38</f>
        <v>3.1703126421740779E-2</v>
      </c>
      <c r="E37" s="56">
        <f>Modello!I38-Modello!K38</f>
        <v>3.1703126421740779E-2</v>
      </c>
      <c r="F37" s="56">
        <f>Modello!I38-Modello!K38</f>
        <v>3.1703126421740779E-2</v>
      </c>
    </row>
    <row r="39" spans="1:6" ht="15" customHeight="1" x14ac:dyDescent="0.2">
      <c r="A39" s="191" t="s">
        <v>513</v>
      </c>
      <c r="B39" s="192"/>
      <c r="C39" s="192"/>
      <c r="D39" s="192"/>
      <c r="E39" s="192"/>
      <c r="F39" s="193"/>
    </row>
    <row r="40" spans="1:6" ht="15" customHeight="1" x14ac:dyDescent="0.2">
      <c r="A40" s="52" t="s">
        <v>475</v>
      </c>
      <c r="B40" s="52" t="s">
        <v>512</v>
      </c>
      <c r="C40" s="52" t="s">
        <v>503</v>
      </c>
      <c r="D40" s="52" t="s">
        <v>504</v>
      </c>
      <c r="E40" s="52" t="s">
        <v>505</v>
      </c>
      <c r="F40" s="52" t="s">
        <v>506</v>
      </c>
    </row>
    <row r="41" spans="1:6" ht="15" customHeight="1" x14ac:dyDescent="0.2">
      <c r="A41" s="148" t="s">
        <v>458</v>
      </c>
      <c r="B41" s="50"/>
      <c r="C41" s="54">
        <f>Modello!I38-Modello_Pess!K38</f>
        <v>3.8394179849790169E-2</v>
      </c>
      <c r="D41" s="54">
        <f>Modello!I38-Modello_Pess!K38</f>
        <v>3.8394179849790169E-2</v>
      </c>
      <c r="E41" s="54">
        <f>Modello!I38-Modello_Pess!K38</f>
        <v>3.8394179849790169E-2</v>
      </c>
      <c r="F41" s="54">
        <f>Modello!I38-Modello_Pess!K38</f>
        <v>3.8394179849790169E-2</v>
      </c>
    </row>
    <row r="42" spans="1:6" ht="15" customHeight="1" x14ac:dyDescent="0.2">
      <c r="A42" s="148" t="s">
        <v>459</v>
      </c>
      <c r="B42" s="50"/>
      <c r="C42" s="55">
        <f>Modello!I38-Modello_Pess!K38</f>
        <v>3.8394179849790169E-2</v>
      </c>
      <c r="D42" s="55">
        <f>Modello!I38-Modello_Pess!K38</f>
        <v>3.8394179849790169E-2</v>
      </c>
      <c r="E42" s="55">
        <f>Modello!I38-Modello_Pess!K38</f>
        <v>3.8394179849790169E-2</v>
      </c>
      <c r="F42" s="55">
        <f>Modello!I38-Modello_Pess!K38</f>
        <v>3.8394179849790169E-2</v>
      </c>
    </row>
    <row r="43" spans="1:6" ht="15" customHeight="1" x14ac:dyDescent="0.2">
      <c r="A43" s="148" t="s">
        <v>460</v>
      </c>
      <c r="B43" s="50"/>
      <c r="C43" s="54">
        <f>Modello!I38-Modello_Pess!K38</f>
        <v>3.8394179849790169E-2</v>
      </c>
      <c r="D43" s="54">
        <f>Modello!I38-Modello_Pess!K38</f>
        <v>3.8394179849790169E-2</v>
      </c>
      <c r="E43" s="54">
        <f>Modello!I38-Modello_Pess!K38</f>
        <v>3.8394179849790169E-2</v>
      </c>
      <c r="F43" s="54">
        <f>Modello!I38-Modello_Pess!K38</f>
        <v>3.8394179849790169E-2</v>
      </c>
    </row>
    <row r="44" spans="1:6" ht="15" customHeight="1" x14ac:dyDescent="0.2">
      <c r="A44" s="148" t="s">
        <v>461</v>
      </c>
      <c r="B44" s="50"/>
      <c r="C44" s="55">
        <f>Modello!I38-Modello_Pess!K38</f>
        <v>3.8394179849790169E-2</v>
      </c>
      <c r="D44" s="55">
        <f>Modello!I38-Modello_Pess!K38</f>
        <v>3.8394179849790169E-2</v>
      </c>
      <c r="E44" s="55">
        <f>Modello!I38-Modello_Pess!K38</f>
        <v>3.8394179849790169E-2</v>
      </c>
      <c r="F44" s="55">
        <f>Modello!I38-Modello_Pess!K38</f>
        <v>3.8394179849790169E-2</v>
      </c>
    </row>
    <row r="46" spans="1:6" ht="15" customHeight="1" x14ac:dyDescent="0.2">
      <c r="A46" s="191" t="s">
        <v>514</v>
      </c>
      <c r="B46" s="192"/>
      <c r="C46" s="192"/>
      <c r="D46" s="192"/>
      <c r="E46" s="192"/>
      <c r="F46" s="193"/>
    </row>
    <row r="47" spans="1:6" ht="15" customHeight="1" x14ac:dyDescent="0.2">
      <c r="A47" s="48" t="s">
        <v>474</v>
      </c>
      <c r="B47" s="48" t="s">
        <v>502</v>
      </c>
      <c r="C47" s="48" t="s">
        <v>503</v>
      </c>
      <c r="D47" s="48" t="s">
        <v>504</v>
      </c>
      <c r="E47" s="48" t="s">
        <v>505</v>
      </c>
      <c r="F47" s="48" t="s">
        <v>506</v>
      </c>
    </row>
    <row r="48" spans="1:6" ht="15" customHeight="1" x14ac:dyDescent="0.2">
      <c r="A48" s="147" t="s">
        <v>458</v>
      </c>
      <c r="B48" s="50"/>
      <c r="C48" s="56">
        <f>Modello!AB38/Modello!F38</f>
        <v>2.8778658911217925E-3</v>
      </c>
      <c r="D48" s="56">
        <f>Modello!AB38/Modello!F38</f>
        <v>2.8778658911217925E-3</v>
      </c>
      <c r="E48" s="56">
        <f>Modello!AB38/Modello!F38</f>
        <v>2.8778658911217925E-3</v>
      </c>
      <c r="F48" s="56">
        <f>Modello!AB38/Modello!F38</f>
        <v>2.8778658911217925E-3</v>
      </c>
    </row>
    <row r="49" spans="1:8" ht="15" customHeight="1" x14ac:dyDescent="0.2">
      <c r="A49" s="147" t="s">
        <v>459</v>
      </c>
      <c r="B49" s="50"/>
      <c r="C49" s="56">
        <f>Modello!AB38/Modello!F38</f>
        <v>2.8778658911217925E-3</v>
      </c>
      <c r="D49" s="56">
        <f>Modello!AB38/Modello!F38</f>
        <v>2.8778658911217925E-3</v>
      </c>
      <c r="E49" s="56">
        <f>Modello!AB38/Modello!F38</f>
        <v>2.8778658911217925E-3</v>
      </c>
      <c r="F49" s="56">
        <f>Modello!AB38/Modello!F38</f>
        <v>2.8778658911217925E-3</v>
      </c>
    </row>
    <row r="50" spans="1:8" ht="15" customHeight="1" x14ac:dyDescent="0.2">
      <c r="A50" s="147" t="s">
        <v>460</v>
      </c>
      <c r="B50" s="50"/>
      <c r="C50" s="56">
        <f>Modello!AB38/Modello!F38</f>
        <v>2.8778658911217925E-3</v>
      </c>
      <c r="D50" s="56">
        <f>Modello!AB38/Modello!F38</f>
        <v>2.8778658911217925E-3</v>
      </c>
      <c r="E50" s="56">
        <f>Modello!AB38/Modello!F38</f>
        <v>2.8778658911217925E-3</v>
      </c>
      <c r="F50" s="56">
        <f>Modello!AB38/Modello!F38</f>
        <v>2.8778658911217925E-3</v>
      </c>
    </row>
    <row r="51" spans="1:8" ht="15" customHeight="1" x14ac:dyDescent="0.2">
      <c r="A51" s="147" t="s">
        <v>461</v>
      </c>
      <c r="B51" s="50"/>
      <c r="C51" s="56">
        <f>Modello!AB38/Modello!F38</f>
        <v>2.8778658911217925E-3</v>
      </c>
      <c r="D51" s="56">
        <f>Modello!AB38/Modello!F38</f>
        <v>2.8778658911217925E-3</v>
      </c>
      <c r="E51" s="56">
        <f>Modello!AB38/Modello!F38</f>
        <v>2.8778658911217925E-3</v>
      </c>
      <c r="F51" s="56">
        <f>Modello!AB38/Modello!F38</f>
        <v>2.8778658911217925E-3</v>
      </c>
    </row>
    <row r="53" spans="1:8" ht="15" customHeight="1" x14ac:dyDescent="0.2">
      <c r="A53" s="191" t="s">
        <v>515</v>
      </c>
      <c r="B53" s="192"/>
      <c r="C53" s="192"/>
      <c r="D53" s="192"/>
      <c r="E53" s="192"/>
      <c r="F53" s="193"/>
    </row>
    <row r="54" spans="1:8" ht="15" customHeight="1" x14ac:dyDescent="0.2">
      <c r="A54" s="52" t="s">
        <v>475</v>
      </c>
      <c r="B54" s="52" t="s">
        <v>502</v>
      </c>
      <c r="C54" s="52" t="s">
        <v>503</v>
      </c>
      <c r="D54" s="52" t="s">
        <v>504</v>
      </c>
      <c r="E54" s="52" t="s">
        <v>505</v>
      </c>
      <c r="F54" s="52" t="s">
        <v>506</v>
      </c>
    </row>
    <row r="55" spans="1:8" ht="15" customHeight="1" x14ac:dyDescent="0.2">
      <c r="A55" s="148" t="s">
        <v>458</v>
      </c>
      <c r="B55" s="50"/>
      <c r="C55" s="54">
        <f>Modello_Pess!AB38/Modello_Pess!F38</f>
        <v>3.2647551283300925E-3</v>
      </c>
      <c r="D55" s="54">
        <f>Modello_Pess!AB38/Modello_Pess!F38</f>
        <v>3.2647551283300925E-3</v>
      </c>
      <c r="E55" s="54">
        <f>Modello_Pess!AB38/Modello_Pess!F38</f>
        <v>3.2647551283300925E-3</v>
      </c>
      <c r="F55" s="54">
        <f>Modello_Pess!AB38/Modello_Pess!F38</f>
        <v>3.2647551283300925E-3</v>
      </c>
    </row>
    <row r="56" spans="1:8" ht="15" customHeight="1" x14ac:dyDescent="0.2">
      <c r="A56" s="148" t="s">
        <v>459</v>
      </c>
      <c r="B56" s="50"/>
      <c r="C56" s="55">
        <f>Modello_Pess!AB38/Modello_Pess!F38</f>
        <v>3.2647551283300925E-3</v>
      </c>
      <c r="D56" s="55">
        <f>Modello_Pess!AB38/Modello_Pess!F38</f>
        <v>3.2647551283300925E-3</v>
      </c>
      <c r="E56" s="55">
        <f>Modello_Pess!AB38/Modello_Pess!F38</f>
        <v>3.2647551283300925E-3</v>
      </c>
      <c r="F56" s="55">
        <f>Modello_Pess!AB38/Modello_Pess!F38</f>
        <v>3.2647551283300925E-3</v>
      </c>
    </row>
    <row r="57" spans="1:8" ht="15" customHeight="1" x14ac:dyDescent="0.2">
      <c r="A57" s="148" t="s">
        <v>460</v>
      </c>
      <c r="B57" s="50"/>
      <c r="C57" s="54">
        <f>Modello_Pess!AB38/Modello_Pess!F38</f>
        <v>3.2647551283300925E-3</v>
      </c>
      <c r="D57" s="54">
        <f>Modello_Pess!AB38/Modello_Pess!F38</f>
        <v>3.2647551283300925E-3</v>
      </c>
      <c r="E57" s="54">
        <f>Modello_Pess!AB38/Modello_Pess!F38</f>
        <v>3.2647551283300925E-3</v>
      </c>
      <c r="F57" s="54">
        <f>Modello_Pess!AB38/Modello_Pess!F38</f>
        <v>3.2647551283300925E-3</v>
      </c>
    </row>
    <row r="58" spans="1:8" ht="15" customHeight="1" x14ac:dyDescent="0.2">
      <c r="A58" s="148" t="s">
        <v>461</v>
      </c>
      <c r="B58" s="50"/>
      <c r="C58" s="55">
        <f>Modello_Pess!AB38/Modello_Pess!F38</f>
        <v>3.2647551283300925E-3</v>
      </c>
      <c r="D58" s="55">
        <f>Modello_Pess!AB38/Modello_Pess!F38</f>
        <v>3.2647551283300925E-3</v>
      </c>
      <c r="E58" s="55">
        <f>Modello_Pess!AB38/Modello_Pess!F38</f>
        <v>3.2647551283300925E-3</v>
      </c>
      <c r="F58" s="55">
        <f>Modello_Pess!AB38/Modello_Pess!F38</f>
        <v>3.2647551283300925E-3</v>
      </c>
    </row>
    <row r="60" spans="1:8" ht="7.5" customHeight="1" x14ac:dyDescent="0.2"/>
    <row r="61" spans="1:8" ht="15" customHeight="1" x14ac:dyDescent="0.2">
      <c r="A61" s="150" t="s">
        <v>516</v>
      </c>
      <c r="B61" s="23"/>
      <c r="C61" s="23"/>
      <c r="D61" s="23"/>
      <c r="E61" s="23"/>
      <c r="F61" s="23"/>
      <c r="G61" s="23"/>
      <c r="H61" s="23"/>
    </row>
    <row r="62" spans="1:8" ht="15" customHeight="1" x14ac:dyDescent="0.2">
      <c r="A62" s="47" t="s">
        <v>517</v>
      </c>
      <c r="B62" s="47" t="s">
        <v>474</v>
      </c>
      <c r="C62" s="47" t="s">
        <v>475</v>
      </c>
      <c r="D62" s="47" t="s">
        <v>4</v>
      </c>
      <c r="E62" s="190" t="s">
        <v>518</v>
      </c>
      <c r="F62" s="183"/>
      <c r="G62" s="183"/>
      <c r="H62" s="183"/>
    </row>
    <row r="63" spans="1:8" ht="15" customHeight="1" x14ac:dyDescent="0.2">
      <c r="A63" s="152" t="s">
        <v>519</v>
      </c>
      <c r="B63" s="94">
        <f>Parametri!$B$22+Parametri!$B$15</f>
        <v>-3.0000000000000001E-3</v>
      </c>
      <c r="C63" s="94">
        <f>Parametri!$B$130+Parametri!$B$15</f>
        <v>-5.0000000000000001E-3</v>
      </c>
      <c r="D63" s="95" t="s">
        <v>520</v>
      </c>
      <c r="E63" t="s">
        <v>521</v>
      </c>
    </row>
    <row r="64" spans="1:8" ht="15" customHeight="1" x14ac:dyDescent="0.2">
      <c r="A64" s="152" t="s">
        <v>522</v>
      </c>
      <c r="B64" s="96">
        <f>Output!AK52</f>
        <v>0</v>
      </c>
      <c r="C64" s="97">
        <f>Output!AK53</f>
        <v>0</v>
      </c>
      <c r="D64" s="95" t="s">
        <v>523</v>
      </c>
      <c r="E64" t="s">
        <v>524</v>
      </c>
    </row>
    <row r="65" spans="1:8" ht="15" customHeight="1" x14ac:dyDescent="0.2">
      <c r="A65" s="153" t="s">
        <v>525</v>
      </c>
      <c r="B65" s="99">
        <f>Output!AK54</f>
        <v>2060</v>
      </c>
      <c r="C65" s="99">
        <f>Output!AK55</f>
        <v>1466.5122360342461</v>
      </c>
      <c r="D65" s="95" t="s">
        <v>523</v>
      </c>
      <c r="E65" t="s">
        <v>526</v>
      </c>
    </row>
    <row r="66" spans="1:8" ht="15" customHeight="1" x14ac:dyDescent="0.2">
      <c r="A66" s="153" t="s">
        <v>527</v>
      </c>
      <c r="B66" s="94"/>
      <c r="C66" s="94"/>
      <c r="D66" s="95" t="s">
        <v>502</v>
      </c>
      <c r="E66" t="s">
        <v>528</v>
      </c>
    </row>
    <row r="67" spans="1:8" ht="15" customHeight="1" x14ac:dyDescent="0.2">
      <c r="A67" s="154" t="s">
        <v>529</v>
      </c>
      <c r="B67" s="94"/>
      <c r="C67" s="94"/>
      <c r="D67" s="95" t="s">
        <v>48</v>
      </c>
      <c r="E67" t="s">
        <v>530</v>
      </c>
    </row>
    <row r="68" spans="1:8" ht="7.5" customHeight="1" x14ac:dyDescent="0.2"/>
    <row r="69" spans="1:8" ht="15" customHeight="1" x14ac:dyDescent="0.2">
      <c r="A69" s="150" t="s">
        <v>531</v>
      </c>
      <c r="B69" s="23"/>
      <c r="C69" s="23"/>
      <c r="D69" s="23"/>
      <c r="E69" s="23"/>
      <c r="F69" s="23"/>
      <c r="G69" s="23"/>
      <c r="H69" s="23"/>
    </row>
    <row r="70" spans="1:8" ht="15" customHeight="1" x14ac:dyDescent="0.2">
      <c r="A70" s="151" t="s">
        <v>532</v>
      </c>
    </row>
    <row r="71" spans="1:8" ht="15" customHeight="1" x14ac:dyDescent="0.2">
      <c r="A71" s="47" t="s">
        <v>517</v>
      </c>
      <c r="B71" s="47" t="s">
        <v>474</v>
      </c>
      <c r="C71" s="47" t="s">
        <v>475</v>
      </c>
      <c r="D71" s="47" t="s">
        <v>4</v>
      </c>
    </row>
    <row r="72" spans="1:8" ht="15" customHeight="1" x14ac:dyDescent="0.2">
      <c r="A72" s="155" t="s">
        <v>533</v>
      </c>
      <c r="B72" s="87" t="s">
        <v>534</v>
      </c>
      <c r="C72" s="87" t="s">
        <v>534</v>
      </c>
      <c r="D72" s="89" t="s">
        <v>535</v>
      </c>
    </row>
    <row r="73" spans="1:8" ht="15" customHeight="1" x14ac:dyDescent="0.2">
      <c r="A73" s="155" t="s">
        <v>536</v>
      </c>
      <c r="B73" s="87" t="s">
        <v>537</v>
      </c>
      <c r="C73" s="87" t="s">
        <v>538</v>
      </c>
      <c r="D73" s="89" t="s">
        <v>539</v>
      </c>
    </row>
    <row r="74" spans="1:8" ht="15" customHeight="1" x14ac:dyDescent="0.2">
      <c r="A74" s="155" t="s">
        <v>540</v>
      </c>
      <c r="B74" s="87" t="s">
        <v>541</v>
      </c>
      <c r="C74" s="87" t="s">
        <v>542</v>
      </c>
      <c r="D74" s="89" t="s">
        <v>543</v>
      </c>
    </row>
    <row r="75" spans="1:8" ht="15" customHeight="1" x14ac:dyDescent="0.2">
      <c r="A75" s="156" t="s">
        <v>544</v>
      </c>
      <c r="B75" s="91" t="s">
        <v>545</v>
      </c>
      <c r="C75" s="91" t="s">
        <v>546</v>
      </c>
      <c r="D75" s="89" t="s">
        <v>543</v>
      </c>
    </row>
    <row r="76" spans="1:8" ht="15" customHeight="1" x14ac:dyDescent="0.2">
      <c r="A76" s="157" t="s">
        <v>547</v>
      </c>
      <c r="B76" s="90" t="s">
        <v>548</v>
      </c>
      <c r="C76" s="90" t="s">
        <v>549</v>
      </c>
      <c r="D76" s="89" t="s">
        <v>543</v>
      </c>
    </row>
    <row r="77" spans="1:8" ht="15" customHeight="1" x14ac:dyDescent="0.2">
      <c r="A77" s="156" t="s">
        <v>550</v>
      </c>
      <c r="B77" s="91" t="s">
        <v>551</v>
      </c>
      <c r="C77" s="91" t="s">
        <v>552</v>
      </c>
      <c r="D77" s="89" t="s">
        <v>543</v>
      </c>
    </row>
    <row r="78" spans="1:8" ht="15" customHeight="1" x14ac:dyDescent="0.2">
      <c r="A78" s="158" t="s">
        <v>553</v>
      </c>
      <c r="B78" s="92" t="s">
        <v>554</v>
      </c>
      <c r="C78" s="92" t="s">
        <v>555</v>
      </c>
      <c r="D78" s="89" t="s">
        <v>543</v>
      </c>
    </row>
  </sheetData>
  <mergeCells count="11">
    <mergeCell ref="A2:L2"/>
    <mergeCell ref="A11:F11"/>
    <mergeCell ref="A46:F46"/>
    <mergeCell ref="A1:L1"/>
    <mergeCell ref="A32:F32"/>
    <mergeCell ref="E62:H62"/>
    <mergeCell ref="A18:F18"/>
    <mergeCell ref="A4:F4"/>
    <mergeCell ref="A39:F39"/>
    <mergeCell ref="A53:F53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9"/>
  <sheetViews>
    <sheetView zoomScale="75" zoomScaleNormal="100" workbookViewId="0">
      <pane xSplit="3" ySplit="5" topLeftCell="D6" activePane="bottomRight" state="frozen"/>
      <selection pane="topRight" activeCell="D1" sqref="D1"/>
      <selection pane="bottomLeft" activeCell="A63" sqref="A63"/>
      <selection pane="bottomRight" activeCell="T60" sqref="T60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12" customWidth="1"/>
    <col min="4" max="4" width="9.33203125" customWidth="1"/>
    <col min="5" max="5" width="7.6640625" customWidth="1"/>
    <col min="6" max="37" width="7" customWidth="1"/>
  </cols>
  <sheetData>
    <row r="1" spans="1:37" ht="30" customHeight="1" x14ac:dyDescent="0.2">
      <c r="A1" s="57" t="s">
        <v>556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</row>
    <row r="2" spans="1:37" ht="51.75" customHeight="1" x14ac:dyDescent="0.2">
      <c r="A2" s="58" t="s">
        <v>557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4" spans="1:37" ht="30" customHeight="1" x14ac:dyDescent="0.2">
      <c r="A4" s="57" t="s">
        <v>558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spans="1:37" ht="18" customHeight="1" x14ac:dyDescent="0.2">
      <c r="A5" s="61" t="s">
        <v>517</v>
      </c>
      <c r="B5" s="62" t="s">
        <v>4</v>
      </c>
      <c r="C5" s="62" t="s">
        <v>393</v>
      </c>
      <c r="D5" s="62">
        <v>2027</v>
      </c>
      <c r="E5" s="62">
        <v>2028</v>
      </c>
      <c r="F5" s="62">
        <v>2029</v>
      </c>
      <c r="G5" s="62">
        <v>2030</v>
      </c>
      <c r="H5" s="62">
        <v>2031</v>
      </c>
      <c r="I5" s="62">
        <v>2032</v>
      </c>
      <c r="J5" s="62">
        <v>2033</v>
      </c>
      <c r="K5" s="62">
        <v>2034</v>
      </c>
      <c r="L5" s="62">
        <v>2035</v>
      </c>
      <c r="M5" s="62">
        <v>2036</v>
      </c>
      <c r="N5" s="62">
        <v>2037</v>
      </c>
      <c r="O5" s="62">
        <v>2038</v>
      </c>
      <c r="P5" s="62">
        <v>2039</v>
      </c>
      <c r="Q5" s="62">
        <v>2040</v>
      </c>
      <c r="R5" s="62">
        <v>2041</v>
      </c>
      <c r="S5" s="62">
        <v>2042</v>
      </c>
      <c r="T5" s="62">
        <v>2043</v>
      </c>
      <c r="U5" s="62">
        <v>2044</v>
      </c>
      <c r="V5" s="62">
        <v>2045</v>
      </c>
      <c r="W5" s="62">
        <v>2046</v>
      </c>
      <c r="X5" s="62">
        <v>2047</v>
      </c>
      <c r="Y5" s="62">
        <v>2048</v>
      </c>
      <c r="Z5" s="62">
        <v>2049</v>
      </c>
      <c r="AA5" s="62">
        <v>2050</v>
      </c>
      <c r="AB5" s="62">
        <v>2051</v>
      </c>
      <c r="AC5" s="62">
        <v>2052</v>
      </c>
      <c r="AD5" s="62">
        <v>2053</v>
      </c>
      <c r="AE5" s="62">
        <v>2054</v>
      </c>
      <c r="AF5" s="62">
        <v>2055</v>
      </c>
      <c r="AG5" s="62">
        <v>2056</v>
      </c>
      <c r="AH5" s="62">
        <v>2057</v>
      </c>
      <c r="AI5" s="62">
        <v>2058</v>
      </c>
      <c r="AJ5" s="62">
        <v>2059</v>
      </c>
      <c r="AK5" s="62">
        <v>2060</v>
      </c>
    </row>
    <row r="6" spans="1:37" ht="15" customHeight="1" x14ac:dyDescent="0.2">
      <c r="A6" s="63" t="s">
        <v>559</v>
      </c>
      <c r="B6" s="64" t="s">
        <v>502</v>
      </c>
      <c r="C6" s="64" t="s">
        <v>560</v>
      </c>
      <c r="D6" s="65">
        <f>Modello!I5</f>
        <v>0.16</v>
      </c>
      <c r="E6" s="65">
        <f>Modello!I6</f>
        <v>0.16084615384615386</v>
      </c>
      <c r="F6" s="65">
        <f>Modello!I7</f>
        <v>0.16169230769230769</v>
      </c>
      <c r="G6" s="65">
        <f>Modello!I8</f>
        <v>0.16253846153846155</v>
      </c>
      <c r="H6" s="65">
        <f>Modello!I9</f>
        <v>0.16338461538461538</v>
      </c>
      <c r="I6" s="65">
        <f>Modello!I10</f>
        <v>0.16423076923076924</v>
      </c>
      <c r="J6" s="65">
        <f>Modello!I11</f>
        <v>0.16507692307692309</v>
      </c>
      <c r="K6" s="65">
        <f>Modello!I12</f>
        <v>0.16592307692307692</v>
      </c>
      <c r="L6" s="65">
        <f>Modello!I13</f>
        <v>0.16676923076923078</v>
      </c>
      <c r="M6" s="65">
        <f>Modello!I14</f>
        <v>0.16761538461538464</v>
      </c>
      <c r="N6" s="65">
        <f>Modello!I15</f>
        <v>0.16846153846153847</v>
      </c>
      <c r="O6" s="65">
        <f>Modello!I16</f>
        <v>0.16930769230769233</v>
      </c>
      <c r="P6" s="65">
        <f>Modello!I17</f>
        <v>0.17015384615384616</v>
      </c>
      <c r="Q6" s="65">
        <f>Modello!I18</f>
        <v>0.17100000000000001</v>
      </c>
      <c r="R6" s="65">
        <f>Modello!I19</f>
        <v>0.16950000000000001</v>
      </c>
      <c r="S6" s="65">
        <f>Modello!I20</f>
        <v>0.16800000000000001</v>
      </c>
      <c r="T6" s="65">
        <f>Modello!I21</f>
        <v>0.16650000000000001</v>
      </c>
      <c r="U6" s="65">
        <f>Modello!I22</f>
        <v>0.16500000000000001</v>
      </c>
      <c r="V6" s="65">
        <f>Modello!I23</f>
        <v>0.16350000000000001</v>
      </c>
      <c r="W6" s="65">
        <f>Modello!I24</f>
        <v>0.16200000000000001</v>
      </c>
      <c r="X6" s="65">
        <f>Modello!I25</f>
        <v>0.1605</v>
      </c>
      <c r="Y6" s="65">
        <f>Modello!I26</f>
        <v>0.159</v>
      </c>
      <c r="Z6" s="65">
        <f>Modello!I27</f>
        <v>0.1575</v>
      </c>
      <c r="AA6" s="65">
        <f>Modello!I28</f>
        <v>0.156</v>
      </c>
      <c r="AB6" s="65">
        <f>Modello!I29</f>
        <v>0.1545</v>
      </c>
      <c r="AC6" s="65">
        <f>Modello!I30</f>
        <v>0.153</v>
      </c>
      <c r="AD6" s="65">
        <f>Modello!I31</f>
        <v>0.1515</v>
      </c>
      <c r="AE6" s="65">
        <f>Modello!I32</f>
        <v>0.15</v>
      </c>
      <c r="AF6" s="65">
        <f>Modello!I33</f>
        <v>0.14849999999999999</v>
      </c>
      <c r="AG6" s="65">
        <f>Modello!I34</f>
        <v>0.14699999999999999</v>
      </c>
      <c r="AH6" s="65">
        <f>Modello!I35</f>
        <v>0.14549999999999999</v>
      </c>
      <c r="AI6" s="65">
        <f>Modello!I36</f>
        <v>0.14399999999999999</v>
      </c>
      <c r="AJ6" s="65">
        <f>Modello!I37</f>
        <v>0.14249999999999999</v>
      </c>
      <c r="AK6" s="65">
        <f>Modello!I38</f>
        <v>0.14099999999999999</v>
      </c>
    </row>
    <row r="7" spans="1:37" ht="15" customHeight="1" x14ac:dyDescent="0.2">
      <c r="A7" s="49" t="s">
        <v>561</v>
      </c>
      <c r="B7" s="48" t="s">
        <v>502</v>
      </c>
      <c r="C7" s="48" t="s">
        <v>474</v>
      </c>
      <c r="D7" s="51">
        <f>Modello!K5</f>
        <v>0.15581629611086278</v>
      </c>
      <c r="E7" s="51">
        <f>Modello!K6</f>
        <v>0.15315057731964585</v>
      </c>
      <c r="F7" s="51">
        <f>Modello!K7</f>
        <v>0.15387843222796274</v>
      </c>
      <c r="G7" s="51">
        <f>Modello!K8</f>
        <v>0.1559775136865548</v>
      </c>
      <c r="H7" s="51">
        <f>Modello!K9</f>
        <v>0.15630324860655143</v>
      </c>
      <c r="I7" s="51">
        <f>Modello!K10</f>
        <v>0.15644274031905175</v>
      </c>
      <c r="J7" s="51">
        <f>Modello!K11</f>
        <v>0.15635295654269654</v>
      </c>
      <c r="K7" s="51">
        <f>Modello!K12</f>
        <v>0.15613966618004521</v>
      </c>
      <c r="L7" s="51">
        <f>Modello!K13</f>
        <v>0.15592345657333032</v>
      </c>
      <c r="M7" s="51">
        <f>Modello!K14</f>
        <v>0.15558812412085907</v>
      </c>
      <c r="N7" s="51">
        <f>Modello!K15</f>
        <v>0.15724960054044404</v>
      </c>
      <c r="O7" s="51">
        <f>Modello!K16</f>
        <v>0.15888428121768181</v>
      </c>
      <c r="P7" s="51">
        <f>Modello!K17</f>
        <v>0.15872968206708626</v>
      </c>
      <c r="Q7" s="51">
        <f>Modello!K18</f>
        <v>0.15847533773096015</v>
      </c>
      <c r="R7" s="51">
        <f>Modello!K19</f>
        <v>0.15588965199071039</v>
      </c>
      <c r="S7" s="51">
        <f>Modello!K20</f>
        <v>0.15466886756478357</v>
      </c>
      <c r="T7" s="51">
        <f>Modello!K21</f>
        <v>0.15243140915790651</v>
      </c>
      <c r="U7" s="51">
        <f>Modello!K22</f>
        <v>0.15009547562956699</v>
      </c>
      <c r="V7" s="51">
        <f>Modello!K23</f>
        <v>0.1477720548845457</v>
      </c>
      <c r="W7" s="51">
        <f>Modello!K24</f>
        <v>0.14535348533235531</v>
      </c>
      <c r="X7" s="51">
        <f>Modello!K25</f>
        <v>0.14647945878414573</v>
      </c>
      <c r="Y7" s="51">
        <f>Modello!K26</f>
        <v>0.1438546822934707</v>
      </c>
      <c r="Z7" s="51">
        <f>Modello!K27</f>
        <v>0.14124579940973009</v>
      </c>
      <c r="AA7" s="51">
        <f>Modello!K28</f>
        <v>0.13854848169027889</v>
      </c>
      <c r="AB7" s="51">
        <f>Modello!K29</f>
        <v>0.1358684704978268</v>
      </c>
      <c r="AC7" s="51">
        <f>Modello!K30</f>
        <v>0.13310306586677009</v>
      </c>
      <c r="AD7" s="51">
        <f>Modello!K31</f>
        <v>0.13035631666136488</v>
      </c>
      <c r="AE7" s="51">
        <f>Modello!K32</f>
        <v>0.12752712611215131</v>
      </c>
      <c r="AF7" s="51">
        <f>Modello!K33</f>
        <v>0.12471787780371754</v>
      </c>
      <c r="AG7" s="51">
        <f>Modello!K34</f>
        <v>0.12182905327153466</v>
      </c>
      <c r="AH7" s="51">
        <f>Modello!K35</f>
        <v>0.1187587301255342</v>
      </c>
      <c r="AI7" s="51">
        <f>Modello!K36</f>
        <v>0.11561311196730781</v>
      </c>
      <c r="AJ7" s="51">
        <f>Modello!K37</f>
        <v>0.1124913114472238</v>
      </c>
      <c r="AK7" s="51">
        <f>Modello!K38</f>
        <v>0.10929687357825921</v>
      </c>
    </row>
    <row r="8" spans="1:37" ht="15" customHeight="1" x14ac:dyDescent="0.2">
      <c r="A8" s="53" t="s">
        <v>561</v>
      </c>
      <c r="B8" s="52" t="s">
        <v>502</v>
      </c>
      <c r="C8" s="52" t="s">
        <v>475</v>
      </c>
      <c r="D8" s="66">
        <f>Modello_Pess!K5</f>
        <v>0.15581629611086278</v>
      </c>
      <c r="E8" s="66">
        <f>Modello_Pess!K6</f>
        <v>0.15310748875809216</v>
      </c>
      <c r="F8" s="66">
        <f>Modello_Pess!K7</f>
        <v>0.15378950817152182</v>
      </c>
      <c r="G8" s="66">
        <f>Modello_Pess!K8</f>
        <v>0.15586059435024147</v>
      </c>
      <c r="H8" s="66">
        <f>Modello_Pess!K9</f>
        <v>0.15613379319829068</v>
      </c>
      <c r="I8" s="66">
        <f>Modello_Pess!K10</f>
        <v>0.15620919115266882</v>
      </c>
      <c r="J8" s="66">
        <f>Modello_Pess!K11</f>
        <v>0.15604229669468966</v>
      </c>
      <c r="K8" s="66">
        <f>Modello_Pess!K12</f>
        <v>0.15573721615960898</v>
      </c>
      <c r="L8" s="66">
        <f>Modello_Pess!K13</f>
        <v>0.15541744117264694</v>
      </c>
      <c r="M8" s="66">
        <f>Modello_Pess!K14</f>
        <v>0.15496131689594522</v>
      </c>
      <c r="N8" s="66">
        <f>Modello_Pess!K15</f>
        <v>0.15654917810424074</v>
      </c>
      <c r="O8" s="66">
        <f>Modello_Pess!K16</f>
        <v>0.15815272295128052</v>
      </c>
      <c r="P8" s="66">
        <f>Modello_Pess!K17</f>
        <v>0.15786426347502072</v>
      </c>
      <c r="Q8" s="66">
        <f>Modello_Pess!K18</f>
        <v>0.15745781281020602</v>
      </c>
      <c r="R8" s="66">
        <f>Modello_Pess!K19</f>
        <v>0.15470835747578654</v>
      </c>
      <c r="S8" s="66">
        <f>Modello_Pess!K20</f>
        <v>0.1534168377257708</v>
      </c>
      <c r="T8" s="66">
        <f>Modello_Pess!K21</f>
        <v>0.15102328875084928</v>
      </c>
      <c r="U8" s="66">
        <f>Modello_Pess!K22</f>
        <v>0.14851266091960186</v>
      </c>
      <c r="V8" s="66">
        <f>Modello_Pess!K23</f>
        <v>0.14600466628925321</v>
      </c>
      <c r="W8" s="66">
        <f>Modello_Pess!K24</f>
        <v>0.14338110570627532</v>
      </c>
      <c r="X8" s="66">
        <f>Modello_Pess!K25</f>
        <v>0.14450786616162536</v>
      </c>
      <c r="Y8" s="66">
        <f>Modello_Pess!K26</f>
        <v>0.1416437300261979</v>
      </c>
      <c r="Z8" s="66">
        <f>Modello_Pess!K27</f>
        <v>0.13878330123947666</v>
      </c>
      <c r="AA8" s="66">
        <f>Modello_Pess!K28</f>
        <v>0.13580977771132077</v>
      </c>
      <c r="AB8" s="66">
        <f>Modello_Pess!K29</f>
        <v>0.13284072451797854</v>
      </c>
      <c r="AC8" s="66">
        <f>Modello_Pess!K30</f>
        <v>0.1297600333735052</v>
      </c>
      <c r="AD8" s="66">
        <f>Modello_Pess!K31</f>
        <v>0.12668456327955566</v>
      </c>
      <c r="AE8" s="66">
        <f>Modello_Pess!K32</f>
        <v>0.12349889565306409</v>
      </c>
      <c r="AF8" s="66">
        <f>Modello_Pess!K33</f>
        <v>0.12031918768105433</v>
      </c>
      <c r="AG8" s="66">
        <f>Modello_Pess!K34</f>
        <v>0.11703070640582992</v>
      </c>
      <c r="AH8" s="66">
        <f>Modello_Pess!K35</f>
        <v>0.11352732642214794</v>
      </c>
      <c r="AI8" s="66">
        <f>Modello_Pess!K36</f>
        <v>0.10991690688518002</v>
      </c>
      <c r="AJ8" s="66">
        <f>Modello_Pess!K37</f>
        <v>0.10631420053468578</v>
      </c>
      <c r="AK8" s="66">
        <f>Modello_Pess!K38</f>
        <v>0.10260582015020982</v>
      </c>
    </row>
    <row r="9" spans="1:37" s="95" customFormat="1" ht="15" customHeight="1" x14ac:dyDescent="0.2">
      <c r="A9" s="102" t="s">
        <v>562</v>
      </c>
      <c r="B9" s="103" t="s">
        <v>512</v>
      </c>
      <c r="C9" s="103" t="s">
        <v>474</v>
      </c>
      <c r="D9" s="104">
        <f>Modello!I5-Modello!K5</f>
        <v>4.1837038891372191E-3</v>
      </c>
      <c r="E9" s="104">
        <f>Modello!I6-Modello!K6</f>
        <v>7.6955765265080134E-3</v>
      </c>
      <c r="F9" s="104">
        <f>Modello!I7-Modello!K7</f>
        <v>7.8138754643449493E-3</v>
      </c>
      <c r="G9" s="104">
        <f>Modello!I8-Modello!K8</f>
        <v>6.560947851906751E-3</v>
      </c>
      <c r="H9" s="104">
        <f>Modello!I9-Modello!K9</f>
        <v>7.0813667780639522E-3</v>
      </c>
      <c r="I9" s="104">
        <f>Modello!I10-Modello!K10</f>
        <v>7.7880289117174817E-3</v>
      </c>
      <c r="J9" s="104">
        <f>Modello!I11-Modello!K11</f>
        <v>8.7239665342265516E-3</v>
      </c>
      <c r="K9" s="104">
        <f>Modello!I12-Modello!K12</f>
        <v>9.7834107430317119E-3</v>
      </c>
      <c r="L9" s="104">
        <f>Modello!I13-Modello!K13</f>
        <v>1.0845774195900465E-2</v>
      </c>
      <c r="M9" s="104">
        <f>Modello!I14-Modello!K14</f>
        <v>1.2027260494525571E-2</v>
      </c>
      <c r="N9" s="104">
        <f>Modello!I15-Modello!K15</f>
        <v>1.1211937921094428E-2</v>
      </c>
      <c r="O9" s="104">
        <f>Modello!I16-Modello!K16</f>
        <v>1.042341109001052E-2</v>
      </c>
      <c r="P9" s="104">
        <f>Modello!I17-Modello!K17</f>
        <v>1.1424164086759891E-2</v>
      </c>
      <c r="Q9" s="104">
        <f>Modello!I18-Modello!K18</f>
        <v>1.2524662269039866E-2</v>
      </c>
      <c r="R9" s="104">
        <f>Modello!I19-Modello!K19</f>
        <v>1.3610348009289619E-2</v>
      </c>
      <c r="S9" s="104">
        <f>Modello!I20-Modello!K20</f>
        <v>1.3331132435216442E-2</v>
      </c>
      <c r="T9" s="104">
        <f>Modello!I21-Modello!K21</f>
        <v>1.4068590842093498E-2</v>
      </c>
      <c r="U9" s="104">
        <f>Modello!I22-Modello!K22</f>
        <v>1.490452437043302E-2</v>
      </c>
      <c r="V9" s="104">
        <f>Modello!I23-Modello!K23</f>
        <v>1.5727945115454306E-2</v>
      </c>
      <c r="W9" s="104">
        <f>Modello!I24-Modello!K24</f>
        <v>1.6646514667644691E-2</v>
      </c>
      <c r="X9" s="104">
        <f>Modello!I25-Modello!K25</f>
        <v>1.4020541215854276E-2</v>
      </c>
      <c r="Y9" s="104">
        <f>Modello!I26-Modello!K26</f>
        <v>1.5145317706529299E-2</v>
      </c>
      <c r="Z9" s="104">
        <f>Modello!I27-Modello!K27</f>
        <v>1.6254200590269913E-2</v>
      </c>
      <c r="AA9" s="104">
        <f>Modello!I28-Modello!K28</f>
        <v>1.7451518309721109E-2</v>
      </c>
      <c r="AB9" s="104">
        <f>Modello!I29-Modello!K29</f>
        <v>1.86315295021732E-2</v>
      </c>
      <c r="AC9" s="104">
        <f>Modello!I30-Modello!K30</f>
        <v>1.9896934133229904E-2</v>
      </c>
      <c r="AD9" s="104">
        <f>Modello!I31-Modello!K31</f>
        <v>2.1143683338635116E-2</v>
      </c>
      <c r="AE9" s="104">
        <f>Modello!I32-Modello!K32</f>
        <v>2.2472873887848688E-2</v>
      </c>
      <c r="AF9" s="104">
        <f>Modello!I33-Modello!K33</f>
        <v>2.3782122196282451E-2</v>
      </c>
      <c r="AG9" s="104">
        <f>Modello!I34-Modello!K34</f>
        <v>2.5170946728465329E-2</v>
      </c>
      <c r="AH9" s="104">
        <f>Modello!I35-Modello!K35</f>
        <v>2.674126987446579E-2</v>
      </c>
      <c r="AI9" s="104">
        <f>Modello!I36-Modello!K36</f>
        <v>2.8386888032692181E-2</v>
      </c>
      <c r="AJ9" s="104">
        <f>Modello!I37-Modello!K37</f>
        <v>3.0008688552776192E-2</v>
      </c>
      <c r="AK9" s="104">
        <f>Modello!I38-Modello!K38</f>
        <v>3.1703126421740779E-2</v>
      </c>
    </row>
    <row r="10" spans="1:37" s="89" customFormat="1" ht="15" customHeight="1" x14ac:dyDescent="0.2">
      <c r="A10" s="106" t="s">
        <v>562</v>
      </c>
      <c r="B10" s="107" t="s">
        <v>512</v>
      </c>
      <c r="C10" s="107" t="s">
        <v>475</v>
      </c>
      <c r="D10" s="108">
        <f>Modello!I5-Modello_Pess!K5</f>
        <v>4.1837038891372191E-3</v>
      </c>
      <c r="E10" s="108">
        <f>Modello!I6-Modello_Pess!K6</f>
        <v>7.7386650880617025E-3</v>
      </c>
      <c r="F10" s="108">
        <f>Modello!I7-Modello_Pess!K7</f>
        <v>7.9027995207858748E-3</v>
      </c>
      <c r="G10" s="108">
        <f>Modello!I8-Modello_Pess!K8</f>
        <v>6.6778671882200824E-3</v>
      </c>
      <c r="H10" s="108">
        <f>Modello!I9-Modello_Pess!K9</f>
        <v>7.2508221863246958E-3</v>
      </c>
      <c r="I10" s="108">
        <f>Modello!I10-Modello_Pess!K10</f>
        <v>8.0215780781004165E-3</v>
      </c>
      <c r="J10" s="108">
        <f>Modello!I11-Modello_Pess!K11</f>
        <v>9.0346263822334294E-3</v>
      </c>
      <c r="K10" s="108">
        <f>Modello!I12-Modello_Pess!K12</f>
        <v>1.0185860763467947E-2</v>
      </c>
      <c r="L10" s="108">
        <f>Modello!I13-Modello_Pess!K13</f>
        <v>1.1351789596583839E-2</v>
      </c>
      <c r="M10" s="108">
        <f>Modello!I14-Modello_Pess!K14</f>
        <v>1.2654067719439416E-2</v>
      </c>
      <c r="N10" s="108">
        <f>Modello!I15-Modello_Pess!K15</f>
        <v>1.191236035729773E-2</v>
      </c>
      <c r="O10" s="108">
        <f>Modello!I16-Modello_Pess!K16</f>
        <v>1.1154969356411804E-2</v>
      </c>
      <c r="P10" s="108">
        <f>Modello!I17-Modello_Pess!K17</f>
        <v>1.2289582678825434E-2</v>
      </c>
      <c r="Q10" s="108">
        <f>Modello!I18-Modello_Pess!K18</f>
        <v>1.3542187189793997E-2</v>
      </c>
      <c r="R10" s="108">
        <f>Modello!I19-Modello_Pess!K19</f>
        <v>1.4791642524213472E-2</v>
      </c>
      <c r="S10" s="108">
        <f>Modello!I20-Modello_Pess!K20</f>
        <v>1.4583162274229206E-2</v>
      </c>
      <c r="T10" s="108">
        <f>Modello!I21-Modello_Pess!K21</f>
        <v>1.5476711249150732E-2</v>
      </c>
      <c r="U10" s="108">
        <f>Modello!I22-Modello_Pess!K22</f>
        <v>1.648733908039815E-2</v>
      </c>
      <c r="V10" s="108">
        <f>Modello!I23-Modello_Pess!K23</f>
        <v>1.7495333710746797E-2</v>
      </c>
      <c r="W10" s="108">
        <f>Modello!I24-Modello_Pess!K24</f>
        <v>1.861889429372468E-2</v>
      </c>
      <c r="X10" s="108">
        <f>Modello!I25-Modello_Pess!K25</f>
        <v>1.5992133838374639E-2</v>
      </c>
      <c r="Y10" s="108">
        <f>Modello!I26-Modello_Pess!K26</f>
        <v>1.7356269973802102E-2</v>
      </c>
      <c r="Z10" s="108">
        <f>Modello!I27-Modello_Pess!K27</f>
        <v>1.8716698760523343E-2</v>
      </c>
      <c r="AA10" s="108">
        <f>Modello!I28-Modello_Pess!K28</f>
        <v>2.0190222288679227E-2</v>
      </c>
      <c r="AB10" s="108">
        <f>Modello!I29-Modello_Pess!K29</f>
        <v>2.1659275482021456E-2</v>
      </c>
      <c r="AC10" s="108">
        <f>Modello!I30-Modello_Pess!K30</f>
        <v>2.3239966626494801E-2</v>
      </c>
      <c r="AD10" s="108">
        <f>Modello!I31-Modello_Pess!K31</f>
        <v>2.4815436720444339E-2</v>
      </c>
      <c r="AE10" s="108">
        <f>Modello!I32-Modello_Pess!K32</f>
        <v>2.6501104346935908E-2</v>
      </c>
      <c r="AF10" s="108">
        <f>Modello!I33-Modello_Pess!K33</f>
        <v>2.8180812318945661E-2</v>
      </c>
      <c r="AG10" s="108">
        <f>Modello!I34-Modello_Pess!K34</f>
        <v>2.9969293594170068E-2</v>
      </c>
      <c r="AH10" s="108">
        <f>Modello!I35-Modello_Pess!K35</f>
        <v>3.1972673577852051E-2</v>
      </c>
      <c r="AI10" s="108">
        <f>Modello!I36-Modello_Pess!K36</f>
        <v>3.4083093114819968E-2</v>
      </c>
      <c r="AJ10" s="108">
        <f>Modello!I37-Modello_Pess!K37</f>
        <v>3.6185799465314208E-2</v>
      </c>
      <c r="AK10" s="108">
        <f>Modello!I38-Modello_Pess!K38</f>
        <v>3.8394179849790169E-2</v>
      </c>
    </row>
    <row r="11" spans="1:37" s="95" customFormat="1" ht="15" customHeight="1" x14ac:dyDescent="0.2">
      <c r="A11" s="102" t="s">
        <v>563</v>
      </c>
      <c r="B11" s="103" t="s">
        <v>523</v>
      </c>
      <c r="C11" s="103" t="s">
        <v>474</v>
      </c>
      <c r="D11" s="105">
        <f>Modello!F5</f>
        <v>2237</v>
      </c>
      <c r="E11" s="105">
        <f>Modello!F6</f>
        <v>2254.8960000000002</v>
      </c>
      <c r="F11" s="105">
        <f>Modello!F7</f>
        <v>2272.935168</v>
      </c>
      <c r="G11" s="105">
        <f>Modello!F8</f>
        <v>2291.118649344</v>
      </c>
      <c r="H11" s="105">
        <f>Modello!F9</f>
        <v>2309.4475985387521</v>
      </c>
      <c r="I11" s="105">
        <f>Modello!F10</f>
        <v>2327.9231793270624</v>
      </c>
      <c r="J11" s="105">
        <f>Modello!F11</f>
        <v>2346.5465647616788</v>
      </c>
      <c r="K11" s="105">
        <f>Modello!F12</f>
        <v>2365.3189372797724</v>
      </c>
      <c r="L11" s="105">
        <f>Modello!F13</f>
        <v>2384.2414887780105</v>
      </c>
      <c r="M11" s="105">
        <f>Modello!F14</f>
        <v>2403.3154206882346</v>
      </c>
      <c r="N11" s="105">
        <f>Modello!F15</f>
        <v>2422.5419440537403</v>
      </c>
      <c r="O11" s="105">
        <f>Modello!F16</f>
        <v>2441.9222796061704</v>
      </c>
      <c r="P11" s="105">
        <f>Modello!F17</f>
        <v>2461.4576578430197</v>
      </c>
      <c r="Q11" s="105">
        <f>Modello!F18</f>
        <v>2481.1493191057639</v>
      </c>
      <c r="R11" s="105">
        <f>Modello!F19</f>
        <v>2500.9985136586101</v>
      </c>
      <c r="S11" s="105">
        <f>Modello!F20</f>
        <v>2521.0065017678789</v>
      </c>
      <c r="T11" s="105">
        <f>Modello!F21</f>
        <v>2541.174553782022</v>
      </c>
      <c r="U11" s="105">
        <f>Modello!F22</f>
        <v>2561.5039502122781</v>
      </c>
      <c r="V11" s="105">
        <f>Modello!F23</f>
        <v>2581.9959818139764</v>
      </c>
      <c r="W11" s="105">
        <f>Modello!F24</f>
        <v>2602.6519496684882</v>
      </c>
      <c r="X11" s="105">
        <f>Modello!F25</f>
        <v>2623.4731652658361</v>
      </c>
      <c r="Y11" s="105">
        <f>Modello!F26</f>
        <v>2644.460950587963</v>
      </c>
      <c r="Z11" s="105">
        <f>Modello!F27</f>
        <v>2665.6166381926669</v>
      </c>
      <c r="AA11" s="105">
        <f>Modello!F28</f>
        <v>2686.9415712982081</v>
      </c>
      <c r="AB11" s="105">
        <f>Modello!F29</f>
        <v>2708.437103868594</v>
      </c>
      <c r="AC11" s="105">
        <f>Modello!F30</f>
        <v>2730.104600699543</v>
      </c>
      <c r="AD11" s="105">
        <f>Modello!F31</f>
        <v>2751.9454375051391</v>
      </c>
      <c r="AE11" s="105">
        <f>Modello!F32</f>
        <v>2773.9610010051802</v>
      </c>
      <c r="AF11" s="105">
        <f>Modello!F33</f>
        <v>2796.1526890132218</v>
      </c>
      <c r="AG11" s="105">
        <f>Modello!F34</f>
        <v>2818.5219105253277</v>
      </c>
      <c r="AH11" s="105">
        <f>Modello!F35</f>
        <v>2841.0700858095302</v>
      </c>
      <c r="AI11" s="105">
        <f>Modello!F36</f>
        <v>2863.7986464960063</v>
      </c>
      <c r="AJ11" s="105">
        <f>Modello!F37</f>
        <v>2886.7090356679746</v>
      </c>
      <c r="AK11" s="105">
        <f>Modello!F38</f>
        <v>2909.8027079533185</v>
      </c>
    </row>
    <row r="12" spans="1:37" s="89" customFormat="1" ht="15" customHeight="1" x14ac:dyDescent="0.2">
      <c r="A12" s="106" t="s">
        <v>563</v>
      </c>
      <c r="B12" s="107" t="s">
        <v>523</v>
      </c>
      <c r="C12" s="107" t="s">
        <v>475</v>
      </c>
      <c r="D12" s="109">
        <f>Modello_Pess!F5</f>
        <v>2237</v>
      </c>
      <c r="E12" s="109">
        <f>Modello_Pess!F6</f>
        <v>2243.7109999999998</v>
      </c>
      <c r="F12" s="109">
        <f>Modello_Pess!F7</f>
        <v>2250.4421329999996</v>
      </c>
      <c r="G12" s="109">
        <f>Modello_Pess!F8</f>
        <v>2257.1934593989995</v>
      </c>
      <c r="H12" s="109">
        <f>Modello_Pess!F9</f>
        <v>2263.9650397771961</v>
      </c>
      <c r="I12" s="109">
        <f>Modello_Pess!F10</f>
        <v>2270.7569348965276</v>
      </c>
      <c r="J12" s="109">
        <f>Modello_Pess!F11</f>
        <v>2277.569205701217</v>
      </c>
      <c r="K12" s="109">
        <f>Modello_Pess!F12</f>
        <v>2284.4019133183206</v>
      </c>
      <c r="L12" s="109">
        <f>Modello_Pess!F13</f>
        <v>2291.2551190582753</v>
      </c>
      <c r="M12" s="109">
        <f>Modello_Pess!F14</f>
        <v>2298.1288844154501</v>
      </c>
      <c r="N12" s="109">
        <f>Modello_Pess!F15</f>
        <v>2305.023271068696</v>
      </c>
      <c r="O12" s="109">
        <f>Modello_Pess!F16</f>
        <v>2311.9383408819017</v>
      </c>
      <c r="P12" s="109">
        <f>Modello_Pess!F17</f>
        <v>2318.874155904547</v>
      </c>
      <c r="Q12" s="109">
        <f>Modello_Pess!F18</f>
        <v>2325.8307783722603</v>
      </c>
      <c r="R12" s="109">
        <f>Modello_Pess!F19</f>
        <v>2332.8082707073768</v>
      </c>
      <c r="S12" s="109">
        <f>Modello_Pess!F20</f>
        <v>2339.8066955194986</v>
      </c>
      <c r="T12" s="109">
        <f>Modello_Pess!F21</f>
        <v>2346.8261156060566</v>
      </c>
      <c r="U12" s="109">
        <f>Modello_Pess!F22</f>
        <v>2353.8665939528746</v>
      </c>
      <c r="V12" s="109">
        <f>Modello_Pess!F23</f>
        <v>2360.9281937347328</v>
      </c>
      <c r="W12" s="109">
        <f>Modello_Pess!F24</f>
        <v>2368.0109783159369</v>
      </c>
      <c r="X12" s="109">
        <f>Modello_Pess!F25</f>
        <v>2375.1150112508844</v>
      </c>
      <c r="Y12" s="109">
        <f>Modello_Pess!F26</f>
        <v>2382.2403562846366</v>
      </c>
      <c r="Z12" s="109">
        <f>Modello_Pess!F27</f>
        <v>2389.3870773534904</v>
      </c>
      <c r="AA12" s="109">
        <f>Modello_Pess!F28</f>
        <v>2396.5552385855508</v>
      </c>
      <c r="AB12" s="109">
        <f>Modello_Pess!F29</f>
        <v>2403.7449043013071</v>
      </c>
      <c r="AC12" s="109">
        <f>Modello_Pess!F30</f>
        <v>2410.9561390142107</v>
      </c>
      <c r="AD12" s="109">
        <f>Modello_Pess!F31</f>
        <v>2418.1890074312532</v>
      </c>
      <c r="AE12" s="109">
        <f>Modello_Pess!F32</f>
        <v>2425.4435744535467</v>
      </c>
      <c r="AF12" s="109">
        <f>Modello_Pess!F33</f>
        <v>2432.7199051769071</v>
      </c>
      <c r="AG12" s="109">
        <f>Modello_Pess!F34</f>
        <v>2440.0180648924375</v>
      </c>
      <c r="AH12" s="109">
        <f>Modello_Pess!F35</f>
        <v>2447.3381190871146</v>
      </c>
      <c r="AI12" s="109">
        <f>Modello_Pess!F36</f>
        <v>2454.6801334443758</v>
      </c>
      <c r="AJ12" s="109">
        <f>Modello_Pess!F37</f>
        <v>2462.0441738447084</v>
      </c>
      <c r="AK12" s="109">
        <f>Modello_Pess!F38</f>
        <v>2469.4303063662423</v>
      </c>
    </row>
    <row r="14" spans="1:37" ht="30" customHeight="1" x14ac:dyDescent="0.2">
      <c r="A14" s="57" t="s">
        <v>564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 spans="1:37" ht="18" customHeight="1" x14ac:dyDescent="0.2">
      <c r="A15" s="61" t="s">
        <v>517</v>
      </c>
      <c r="B15" s="61" t="s">
        <v>4</v>
      </c>
      <c r="C15" s="61" t="s">
        <v>393</v>
      </c>
      <c r="D15" s="62">
        <v>2027</v>
      </c>
      <c r="E15" s="62">
        <v>2028</v>
      </c>
      <c r="F15" s="62">
        <v>2029</v>
      </c>
      <c r="G15" s="62">
        <v>2030</v>
      </c>
      <c r="H15" s="62">
        <v>2031</v>
      </c>
      <c r="I15" s="62">
        <v>2032</v>
      </c>
      <c r="J15" s="62">
        <v>2033</v>
      </c>
      <c r="K15" s="62">
        <v>2034</v>
      </c>
      <c r="L15" s="62">
        <v>2035</v>
      </c>
      <c r="M15" s="62">
        <v>2036</v>
      </c>
      <c r="N15" s="62">
        <v>2037</v>
      </c>
      <c r="O15" s="62">
        <v>2038</v>
      </c>
      <c r="P15" s="62">
        <v>2039</v>
      </c>
      <c r="Q15" s="62">
        <v>2040</v>
      </c>
      <c r="R15" s="62">
        <v>2041</v>
      </c>
      <c r="S15" s="62">
        <v>2042</v>
      </c>
      <c r="T15" s="62">
        <v>2043</v>
      </c>
      <c r="U15" s="62">
        <v>2044</v>
      </c>
      <c r="V15" s="62">
        <v>2045</v>
      </c>
      <c r="W15" s="62">
        <v>2046</v>
      </c>
      <c r="X15" s="62">
        <v>2047</v>
      </c>
      <c r="Y15" s="62">
        <v>2048</v>
      </c>
      <c r="Z15" s="62">
        <v>2049</v>
      </c>
      <c r="AA15" s="62">
        <v>2050</v>
      </c>
      <c r="AB15" s="62">
        <v>2051</v>
      </c>
      <c r="AC15" s="62">
        <v>2052</v>
      </c>
      <c r="AD15" s="62">
        <v>2053</v>
      </c>
      <c r="AE15" s="62">
        <v>2054</v>
      </c>
      <c r="AF15" s="62">
        <v>2055</v>
      </c>
      <c r="AG15" s="62">
        <v>2056</v>
      </c>
      <c r="AH15" s="62">
        <v>2057</v>
      </c>
      <c r="AI15" s="62">
        <v>2058</v>
      </c>
      <c r="AJ15" s="62">
        <v>2059</v>
      </c>
      <c r="AK15" s="62">
        <v>2060</v>
      </c>
    </row>
    <row r="16" spans="1:37" ht="15" customHeight="1" x14ac:dyDescent="0.2">
      <c r="A16" s="86" t="s">
        <v>565</v>
      </c>
      <c r="B16" s="86"/>
      <c r="C16" s="86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</row>
    <row r="17" spans="1:37" ht="15" customHeight="1" x14ac:dyDescent="0.2">
      <c r="A17" s="49" t="s">
        <v>566</v>
      </c>
      <c r="B17" s="48" t="s">
        <v>523</v>
      </c>
      <c r="C17" s="48" t="s">
        <v>474</v>
      </c>
      <c r="D17" s="67">
        <f>Modello!Z5</f>
        <v>3.0838500000000004</v>
      </c>
      <c r="E17" s="67">
        <f>Modello!Z6</f>
        <v>3.601512744192001</v>
      </c>
      <c r="F17" s="67">
        <f>Modello!Z7</f>
        <v>4.122986774613687</v>
      </c>
      <c r="G17" s="67">
        <f>Modello!Z8</f>
        <v>4.6483270348073873</v>
      </c>
      <c r="H17" s="67">
        <f>Modello!Z9</f>
        <v>5.1775889189653741</v>
      </c>
      <c r="I17" s="67">
        <f>Modello!Z10</f>
        <v>5.7108282761007629</v>
      </c>
      <c r="J17" s="67">
        <f>Modello!Z11</f>
        <v>5.8914309971291541</v>
      </c>
      <c r="K17" s="67">
        <f>Modello!Z12</f>
        <v>6.0734386530032047</v>
      </c>
      <c r="L17" s="67">
        <f>Modello!Z13</f>
        <v>6.2568697915182598</v>
      </c>
      <c r="M17" s="67">
        <f>Modello!Z14</f>
        <v>6.441743112633171</v>
      </c>
      <c r="N17" s="67">
        <f>Modello!Z15</f>
        <v>6.6280774698560059</v>
      </c>
      <c r="O17" s="67">
        <f>Modello!Z16</f>
        <v>6.8158918716410648</v>
      </c>
      <c r="P17" s="67">
        <f>Modello!Z17</f>
        <v>7.0052054827973089</v>
      </c>
      <c r="Q17" s="67">
        <f>Modello!Z18</f>
        <v>7.1960376259082874</v>
      </c>
      <c r="R17" s="67">
        <f>Modello!Z19</f>
        <v>7.3884077827636716</v>
      </c>
      <c r="S17" s="67">
        <f>Modello!Z20</f>
        <v>7.5823355958024701</v>
      </c>
      <c r="T17" s="67">
        <f>Modello!Z21</f>
        <v>7.7778408695680321</v>
      </c>
      <c r="U17" s="67">
        <f>Modello!Z22</f>
        <v>7.9749435721749471</v>
      </c>
      <c r="V17" s="67">
        <f>Modello!Z23</f>
        <v>8.1736638367879078</v>
      </c>
      <c r="W17" s="67">
        <f>Modello!Z24</f>
        <v>8.3740219631126767</v>
      </c>
      <c r="X17" s="67">
        <f>Modello!Z25</f>
        <v>0</v>
      </c>
      <c r="Y17" s="67">
        <f>Modello!Z26</f>
        <v>0</v>
      </c>
      <c r="Z17" s="67">
        <f>Modello!Z27</f>
        <v>0</v>
      </c>
      <c r="AA17" s="67">
        <f>Modello!Z28</f>
        <v>0</v>
      </c>
      <c r="AB17" s="67">
        <f>Modello!Z29</f>
        <v>0</v>
      </c>
      <c r="AC17" s="67">
        <f>Modello!Z30</f>
        <v>0</v>
      </c>
      <c r="AD17" s="67">
        <f>Modello!Z31</f>
        <v>0</v>
      </c>
      <c r="AE17" s="67">
        <f>Modello!Z32</f>
        <v>0</v>
      </c>
      <c r="AF17" s="67">
        <f>Modello!Z33</f>
        <v>0</v>
      </c>
      <c r="AG17" s="67">
        <f>Modello!Z34</f>
        <v>0</v>
      </c>
      <c r="AH17" s="67">
        <f>Modello!Z35</f>
        <v>0</v>
      </c>
      <c r="AI17" s="67">
        <f>Modello!Z36</f>
        <v>0</v>
      </c>
      <c r="AJ17" s="67">
        <f>Modello!Z37</f>
        <v>0</v>
      </c>
      <c r="AK17" s="67">
        <f>Modello!Z38</f>
        <v>0</v>
      </c>
    </row>
    <row r="18" spans="1:37" ht="15" customHeight="1" x14ac:dyDescent="0.2">
      <c r="A18" s="49" t="s">
        <v>566</v>
      </c>
      <c r="B18" s="48" t="s">
        <v>523</v>
      </c>
      <c r="C18" s="48" t="s">
        <v>475</v>
      </c>
      <c r="D18" s="67">
        <f>Modello_Pess!Z5</f>
        <v>3.0838500000000004</v>
      </c>
      <c r="E18" s="67">
        <f>Modello_Pess!Z6</f>
        <v>3.5943240960000007</v>
      </c>
      <c r="F18" s="67">
        <f>Modello_Pess!Z7</f>
        <v>4.1065441717499995</v>
      </c>
      <c r="G18" s="67">
        <f>Modello_Pess!Z8</f>
        <v>4.620548261693699</v>
      </c>
      <c r="H18" s="67">
        <f>Modello_Pess!Z9</f>
        <v>5.1363744856463818</v>
      </c>
      <c r="I18" s="67">
        <f>Modello_Pess!Z10</f>
        <v>5.6540610503775817</v>
      </c>
      <c r="J18" s="67">
        <f>Modello_Pess!Z11</f>
        <v>5.8212260778360658</v>
      </c>
      <c r="K18" s="67">
        <f>Modello_Pess!Z12</f>
        <v>5.9890866759568429</v>
      </c>
      <c r="L18" s="67">
        <f>Modello_Pess!Z13</f>
        <v>6.1576548903873283</v>
      </c>
      <c r="M18" s="67">
        <f>Modello_Pess!Z14</f>
        <v>6.3269427980196795</v>
      </c>
      <c r="N18" s="67">
        <f>Modello_Pess!Z15</f>
        <v>6.4969625074886057</v>
      </c>
      <c r="O18" s="67">
        <f>Modello_Pess!Z16</f>
        <v>6.6677261596702913</v>
      </c>
      <c r="P18" s="67">
        <f>Modello_Pess!Z17</f>
        <v>6.8392459281824864</v>
      </c>
      <c r="Q18" s="67">
        <f>Modello_Pess!Z18</f>
        <v>7.0115340198857314</v>
      </c>
      <c r="R18" s="67">
        <f>Modello_Pess!Z19</f>
        <v>7.1846026753857819</v>
      </c>
      <c r="S18" s="67">
        <f>Modello_Pess!Z20</f>
        <v>7.3584641695372301</v>
      </c>
      <c r="T18" s="67">
        <f>Modello_Pess!Z21</f>
        <v>7.53313081194832</v>
      </c>
      <c r="U18" s="67">
        <f>Modello_Pess!Z22</f>
        <v>7.7086149474870282</v>
      </c>
      <c r="V18" s="67">
        <f>Modello_Pess!Z23</f>
        <v>7.8849289567883609</v>
      </c>
      <c r="W18" s="67">
        <f>Modello_Pess!Z24</f>
        <v>8.0620852567629466</v>
      </c>
      <c r="X18" s="67">
        <f>Modello_Pess!Z25</f>
        <v>0</v>
      </c>
      <c r="Y18" s="67">
        <f>Modello_Pess!Z26</f>
        <v>0</v>
      </c>
      <c r="Z18" s="67">
        <f>Modello_Pess!Z27</f>
        <v>0</v>
      </c>
      <c r="AA18" s="67">
        <f>Modello_Pess!Z28</f>
        <v>0</v>
      </c>
      <c r="AB18" s="67">
        <f>Modello_Pess!Z29</f>
        <v>0</v>
      </c>
      <c r="AC18" s="67">
        <f>Modello_Pess!Z30</f>
        <v>0</v>
      </c>
      <c r="AD18" s="67">
        <f>Modello_Pess!Z31</f>
        <v>0</v>
      </c>
      <c r="AE18" s="67">
        <f>Modello_Pess!Z32</f>
        <v>0</v>
      </c>
      <c r="AF18" s="67">
        <f>Modello_Pess!Z33</f>
        <v>0</v>
      </c>
      <c r="AG18" s="67">
        <f>Modello_Pess!Z34</f>
        <v>0</v>
      </c>
      <c r="AH18" s="67">
        <f>Modello_Pess!Z35</f>
        <v>0</v>
      </c>
      <c r="AI18" s="67">
        <f>Modello_Pess!Z36</f>
        <v>0</v>
      </c>
      <c r="AJ18" s="67">
        <f>Modello_Pess!Z37</f>
        <v>0</v>
      </c>
      <c r="AK18" s="67">
        <f>Modello_Pess!Z38</f>
        <v>0</v>
      </c>
    </row>
    <row r="19" spans="1:37" ht="15" customHeight="1" x14ac:dyDescent="0.2">
      <c r="A19" s="49" t="s">
        <v>567</v>
      </c>
      <c r="B19" s="48" t="s">
        <v>523</v>
      </c>
      <c r="C19" s="48" t="s">
        <v>474</v>
      </c>
      <c r="D19" s="67">
        <f>Modello!AB5</f>
        <v>3.0838500000000004</v>
      </c>
      <c r="E19" s="67">
        <f>Modello!AB6</f>
        <v>6.6853627441920018</v>
      </c>
      <c r="F19" s="67">
        <f>Modello!AB7</f>
        <v>10.808349518805688</v>
      </c>
      <c r="G19" s="67">
        <f>Modello!AB8</f>
        <v>15.456676553613075</v>
      </c>
      <c r="H19" s="67">
        <f>Modello!AB9</f>
        <v>20.634265472578448</v>
      </c>
      <c r="I19" s="67">
        <f>Modello!AB10</f>
        <v>26.345093748679211</v>
      </c>
      <c r="J19" s="67">
        <f>Modello!AB11</f>
        <v>32.236524745808367</v>
      </c>
      <c r="K19" s="67">
        <f>Modello!AB12</f>
        <v>38.309963398811576</v>
      </c>
      <c r="L19" s="67">
        <f>Modello!AB13</f>
        <v>44.566833190329838</v>
      </c>
      <c r="M19" s="67">
        <f>Modello!AB14</f>
        <v>51.008576302963007</v>
      </c>
      <c r="N19" s="67">
        <f>Modello!AB15</f>
        <v>57.636653772819017</v>
      </c>
      <c r="O19" s="67">
        <f>Modello!AB16</f>
        <v>64.452545644460088</v>
      </c>
      <c r="P19" s="67">
        <f>Modello!AB17</f>
        <v>71.457751127257396</v>
      </c>
      <c r="Q19" s="67">
        <f>Modello!AB18</f>
        <v>78.653788753165685</v>
      </c>
      <c r="R19" s="67">
        <f>Modello!AB19</f>
        <v>86.042196535929349</v>
      </c>
      <c r="S19" s="67">
        <f>Modello!AB20</f>
        <v>90.540682131731828</v>
      </c>
      <c r="T19" s="67">
        <f>Modello!AB21</f>
        <v>94.717010257107859</v>
      </c>
      <c r="U19" s="67">
        <f>Modello!AB22</f>
        <v>98.56896705466913</v>
      </c>
      <c r="V19" s="67">
        <f>Modello!AB23</f>
        <v>102.09430385664965</v>
      </c>
      <c r="W19" s="67">
        <f>Modello!AB24</f>
        <v>105.29073690079696</v>
      </c>
      <c r="X19" s="67">
        <f>Modello!AB25</f>
        <v>99.579908624696202</v>
      </c>
      <c r="Y19" s="67">
        <f>Modello!AB26</f>
        <v>93.688477627567039</v>
      </c>
      <c r="Z19" s="67">
        <f>Modello!AB27</f>
        <v>87.615038974563831</v>
      </c>
      <c r="AA19" s="67">
        <f>Modello!AB28</f>
        <v>81.358169183045561</v>
      </c>
      <c r="AB19" s="67">
        <f>Modello!AB29</f>
        <v>74.916426070412399</v>
      </c>
      <c r="AC19" s="67">
        <f>Modello!AB30</f>
        <v>68.28834860055639</v>
      </c>
      <c r="AD19" s="67">
        <f>Modello!AB31</f>
        <v>61.472456728915319</v>
      </c>
      <c r="AE19" s="67">
        <f>Modello!AB32</f>
        <v>54.46725124611801</v>
      </c>
      <c r="AF19" s="67">
        <f>Modello!AB33</f>
        <v>47.271213620209721</v>
      </c>
      <c r="AG19" s="67">
        <f>Modello!AB34</f>
        <v>39.882805837446057</v>
      </c>
      <c r="AH19" s="67">
        <f>Modello!AB35</f>
        <v>32.30047024164358</v>
      </c>
      <c r="AI19" s="67">
        <f>Modello!AB36</f>
        <v>24.522629372075542</v>
      </c>
      <c r="AJ19" s="67">
        <f>Modello!AB37</f>
        <v>16.547685799900592</v>
      </c>
      <c r="AK19" s="67">
        <f>Modello!AB38</f>
        <v>8.374021963112682</v>
      </c>
    </row>
    <row r="20" spans="1:37" ht="15" customHeight="1" x14ac:dyDescent="0.2">
      <c r="A20" s="49" t="s">
        <v>567</v>
      </c>
      <c r="B20" s="48" t="s">
        <v>523</v>
      </c>
      <c r="C20" s="48" t="s">
        <v>475</v>
      </c>
      <c r="D20" s="67">
        <f>Modello_Pess!AB5</f>
        <v>3.0838500000000004</v>
      </c>
      <c r="E20" s="67">
        <f>Modello_Pess!AB6</f>
        <v>6.6781740960000011</v>
      </c>
      <c r="F20" s="67">
        <f>Modello_Pess!AB7</f>
        <v>10.784718267750002</v>
      </c>
      <c r="G20" s="67">
        <f>Modello_Pess!AB8</f>
        <v>15.405266529443701</v>
      </c>
      <c r="H20" s="67">
        <f>Modello_Pess!AB9</f>
        <v>20.541641015090082</v>
      </c>
      <c r="I20" s="67">
        <f>Modello_Pess!AB10</f>
        <v>26.195702065467664</v>
      </c>
      <c r="J20" s="67">
        <f>Modello_Pess!AB11</f>
        <v>32.01692814330373</v>
      </c>
      <c r="K20" s="67">
        <f>Modello_Pess!AB12</f>
        <v>38.006014819260571</v>
      </c>
      <c r="L20" s="67">
        <f>Modello_Pess!AB13</f>
        <v>44.163669709647898</v>
      </c>
      <c r="M20" s="67">
        <f>Modello_Pess!AB14</f>
        <v>50.490612507667578</v>
      </c>
      <c r="N20" s="67">
        <f>Modello_Pess!AB15</f>
        <v>56.987575015156182</v>
      </c>
      <c r="O20" s="67">
        <f>Modello_Pess!AB16</f>
        <v>63.655301174826477</v>
      </c>
      <c r="P20" s="67">
        <f>Modello_Pess!AB17</f>
        <v>70.494547103008969</v>
      </c>
      <c r="Q20" s="67">
        <f>Modello_Pess!AB18</f>
        <v>77.506081122894699</v>
      </c>
      <c r="R20" s="67">
        <f>Modello_Pess!AB19</f>
        <v>84.690683798280475</v>
      </c>
      <c r="S20" s="67">
        <f>Modello_Pess!AB20</f>
        <v>88.965297967817705</v>
      </c>
      <c r="T20" s="67">
        <f>Modello_Pess!AB21</f>
        <v>92.904104683766022</v>
      </c>
      <c r="U20" s="67">
        <f>Modello_Pess!AB22</f>
        <v>96.506175459503055</v>
      </c>
      <c r="V20" s="67">
        <f>Modello_Pess!AB23</f>
        <v>99.770556154597728</v>
      </c>
      <c r="W20" s="67">
        <f>Modello_Pess!AB24</f>
        <v>102.69626692571428</v>
      </c>
      <c r="X20" s="67">
        <f>Modello_Pess!AB25</f>
        <v>97.042205875336691</v>
      </c>
      <c r="Y20" s="67">
        <f>Modello_Pess!AB26</f>
        <v>91.220979797500632</v>
      </c>
      <c r="Z20" s="67">
        <f>Modello_Pess!AB27</f>
        <v>85.231893121543791</v>
      </c>
      <c r="AA20" s="67">
        <f>Modello_Pess!AB28</f>
        <v>79.074238231156471</v>
      </c>
      <c r="AB20" s="67">
        <f>Modello_Pess!AB29</f>
        <v>72.747295433136784</v>
      </c>
      <c r="AC20" s="67">
        <f>Modello_Pess!AB30</f>
        <v>66.250332925648181</v>
      </c>
      <c r="AD20" s="67">
        <f>Modello_Pess!AB31</f>
        <v>59.582606765977886</v>
      </c>
      <c r="AE20" s="67">
        <f>Modello_Pess!AB32</f>
        <v>52.743360837795393</v>
      </c>
      <c r="AF20" s="67">
        <f>Modello_Pess!AB33</f>
        <v>45.731826817909663</v>
      </c>
      <c r="AG20" s="67">
        <f>Modello_Pess!AB34</f>
        <v>38.547224142523888</v>
      </c>
      <c r="AH20" s="67">
        <f>Modello_Pess!AB35</f>
        <v>31.188759972986659</v>
      </c>
      <c r="AI20" s="67">
        <f>Modello_Pess!AB36</f>
        <v>23.655629161038334</v>
      </c>
      <c r="AJ20" s="67">
        <f>Modello_Pess!AB37</f>
        <v>15.947014213551299</v>
      </c>
      <c r="AK20" s="67">
        <f>Modello_Pess!AB38</f>
        <v>8.0620852567629413</v>
      </c>
    </row>
    <row r="21" spans="1:37" ht="15" customHeight="1" x14ac:dyDescent="0.2">
      <c r="A21" s="49" t="s">
        <v>568</v>
      </c>
      <c r="B21" s="48" t="s">
        <v>502</v>
      </c>
      <c r="C21" s="48" t="s">
        <v>474</v>
      </c>
      <c r="D21" s="51">
        <f>Modello!AB5/Modello!F5</f>
        <v>1.3785650424675906E-3</v>
      </c>
      <c r="E21" s="51">
        <f>Modello!AB6/Modello!F6</f>
        <v>2.9648208805159977E-3</v>
      </c>
      <c r="F21" s="51">
        <f>Modello!AB7/Modello!F7</f>
        <v>4.7552388079402045E-3</v>
      </c>
      <c r="G21" s="51">
        <f>Modello!AB8/Modello!F8</f>
        <v>6.7463448730770348E-3</v>
      </c>
      <c r="H21" s="51">
        <f>Modello!AB9/Modello!F9</f>
        <v>8.9347190582000167E-3</v>
      </c>
      <c r="I21" s="51">
        <f>Modello!AB10/Modello!F10</f>
        <v>1.1316994470708799E-2</v>
      </c>
      <c r="J21" s="51">
        <f>Modello!AB11/Modello!F11</f>
        <v>1.3737858532154205E-2</v>
      </c>
      <c r="K21" s="51">
        <f>Modello!AB12/Modello!F12</f>
        <v>1.6196531805926277E-2</v>
      </c>
      <c r="L21" s="51">
        <f>Modello!AB13/Modello!F13</f>
        <v>1.8692247995890539E-2</v>
      </c>
      <c r="M21" s="51">
        <f>Modello!AB14/Modello!F14</f>
        <v>2.1224253738760492E-2</v>
      </c>
      <c r="N21" s="51">
        <f>Modello!AB15/Modello!F15</f>
        <v>2.3791808399557864E-2</v>
      </c>
      <c r="O21" s="51">
        <f>Modello!AB16/Modello!F16</f>
        <v>2.6394183870116824E-2</v>
      </c>
      <c r="P21" s="51">
        <f>Modello!AB17/Modello!F17</f>
        <v>2.9030664370589241E-2</v>
      </c>
      <c r="Q21" s="51">
        <f>Modello!AB18/Modello!F18</f>
        <v>3.1700546253908432E-2</v>
      </c>
      <c r="R21" s="51">
        <f>Modello!AB19/Modello!F19</f>
        <v>3.4403137813169539E-2</v>
      </c>
      <c r="S21" s="51">
        <f>Modello!AB20/Modello!F20</f>
        <v>3.591449766918068E-2</v>
      </c>
      <c r="T21" s="51">
        <f>Modello!AB21/Modello!F21</f>
        <v>3.7272925669801324E-2</v>
      </c>
      <c r="U21" s="51">
        <f>Modello!AB22/Modello!F22</f>
        <v>3.8480895977732334E-2</v>
      </c>
      <c r="V21" s="51">
        <f>Modello!AB23/Modello!F23</f>
        <v>3.9540845367591733E-2</v>
      </c>
      <c r="W21" s="51">
        <f>Modello!AB24/Modello!F24</f>
        <v>4.0455173775428684E-2</v>
      </c>
      <c r="X21" s="51">
        <f>Modello!AB25/Modello!F25</f>
        <v>3.795728118858261E-2</v>
      </c>
      <c r="Y21" s="51">
        <f>Modello!AB26/Modello!F26</f>
        <v>3.5428194773205697E-2</v>
      </c>
      <c r="Z21" s="51">
        <f>Modello!AB27/Modello!F27</f>
        <v>3.2868581970574851E-2</v>
      </c>
      <c r="AA21" s="51">
        <f>Modello!AB28/Modello!F28</f>
        <v>3.0279098753806168E-2</v>
      </c>
      <c r="AB21" s="51">
        <f>Modello!AB29/Modello!F29</f>
        <v>2.7660389810568457E-2</v>
      </c>
      <c r="AC21" s="51">
        <f>Modello!AB30/Modello!F30</f>
        <v>2.5013088723068948E-2</v>
      </c>
      <c r="AD21" s="51">
        <f>Modello!AB31/Modello!F31</f>
        <v>2.2337818145349957E-2</v>
      </c>
      <c r="AE21" s="51">
        <f>Modello!AB32/Modello!F32</f>
        <v>1.9635189977934481E-2</v>
      </c>
      <c r="AF21" s="51">
        <f>Modello!AB33/Modello!F33</f>
        <v>1.6905805539858411E-2</v>
      </c>
      <c r="AG21" s="51">
        <f>Modello!AB34/Modello!F34</f>
        <v>1.415025573812642E-2</v>
      </c>
      <c r="AH21" s="51">
        <f>Modello!AB35/Modello!F35</f>
        <v>1.136912123462802E-2</v>
      </c>
      <c r="AI21" s="51">
        <f>Modello!AB36/Modello!F36</f>
        <v>8.5629726105500275E-3</v>
      </c>
      <c r="AJ21" s="51">
        <f>Modello!AB37/Modello!F37</f>
        <v>5.7323705283208477E-3</v>
      </c>
      <c r="AK21" s="51">
        <f>Modello!AB38/Modello!F38</f>
        <v>2.8778658911217925E-3</v>
      </c>
    </row>
    <row r="22" spans="1:37" ht="15" customHeight="1" x14ac:dyDescent="0.2">
      <c r="A22" s="49" t="s">
        <v>568</v>
      </c>
      <c r="B22" s="48" t="s">
        <v>502</v>
      </c>
      <c r="C22" s="48" t="s">
        <v>475</v>
      </c>
      <c r="D22" s="51">
        <f>Modello_Pess!AB5/Modello_Pess!F5</f>
        <v>1.3785650424675906E-3</v>
      </c>
      <c r="E22" s="51">
        <f>Modello_Pess!AB6/Modello_Pess!F6</f>
        <v>2.976396735586714E-3</v>
      </c>
      <c r="F22" s="51">
        <f>Modello_Pess!AB7/Modello_Pess!F7</f>
        <v>4.7922664216089863E-3</v>
      </c>
      <c r="G22" s="51">
        <f>Modello_Pess!AB8/Modello_Pess!F8</f>
        <v>6.8249650756765472E-3</v>
      </c>
      <c r="H22" s="51">
        <f>Modello_Pess!AB9/Modello_Pess!F9</f>
        <v>9.0733031006130956E-3</v>
      </c>
      <c r="I22" s="51">
        <f>Modello_Pess!AB10/Modello_Pess!F10</f>
        <v>1.1536110123852306E-2</v>
      </c>
      <c r="J22" s="51">
        <f>Modello_Pess!AB11/Modello_Pess!F11</f>
        <v>1.4057499575933356E-2</v>
      </c>
      <c r="K22" s="51">
        <f>Modello_Pess!AB12/Modello_Pess!F12</f>
        <v>1.6637183937590502E-2</v>
      </c>
      <c r="L22" s="51">
        <f>Modello_Pess!AB13/Modello_Pess!F13</f>
        <v>1.9274880977810768E-2</v>
      </c>
      <c r="M22" s="51">
        <f>Modello_Pess!AB14/Modello_Pess!F14</f>
        <v>2.1970313697401843E-2</v>
      </c>
      <c r="N22" s="51">
        <f>Modello_Pess!AB15/Modello_Pess!F15</f>
        <v>2.4723210273159015E-2</v>
      </c>
      <c r="O22" s="51">
        <f>Modello_Pess!AB16/Modello_Pess!F16</f>
        <v>2.7533304002625263E-2</v>
      </c>
      <c r="P22" s="51">
        <f>Modello_Pess!AB17/Modello_Pess!F17</f>
        <v>3.0400333249438645E-2</v>
      </c>
      <c r="Q22" s="51">
        <f>Modello_Pess!AB18/Modello_Pess!F18</f>
        <v>3.3324041389261157E-2</v>
      </c>
      <c r="R22" s="51">
        <f>Modello_Pess!AB19/Modello_Pess!F19</f>
        <v>3.6304176756283425E-2</v>
      </c>
      <c r="S22" s="51">
        <f>Modello_Pess!AB20/Modello_Pess!F20</f>
        <v>3.8022499097116684E-2</v>
      </c>
      <c r="T22" s="51">
        <f>Modello_Pess!AB21/Modello_Pess!F21</f>
        <v>3.9587127510626825E-2</v>
      </c>
      <c r="U22" s="51">
        <f>Modello_Pess!AB22/Modello_Pess!F22</f>
        <v>4.0998999564133817E-2</v>
      </c>
      <c r="V22" s="51">
        <f>Modello_Pess!AB23/Modello_Pess!F23</f>
        <v>4.2259038804891187E-2</v>
      </c>
      <c r="W22" s="51">
        <f>Modello_Pess!AB24/Modello_Pess!F24</f>
        <v>4.3368154905577758E-2</v>
      </c>
      <c r="X22" s="51">
        <f>Modello_Pess!AB25/Modello_Pess!F25</f>
        <v>4.0857897582074643E-2</v>
      </c>
      <c r="Y22" s="51">
        <f>Modello_Pess!AB26/Modello_Pess!F26</f>
        <v>3.8292097418654129E-2</v>
      </c>
      <c r="Z22" s="51">
        <f>Modello_Pess!AB27/Modello_Pess!F27</f>
        <v>3.5671027908942866E-2</v>
      </c>
      <c r="AA22" s="51">
        <f>Modello_Pess!AB28/Modello_Pess!F28</f>
        <v>3.2994957494835865E-2</v>
      </c>
      <c r="AB22" s="51">
        <f>Modello_Pess!AB29/Modello_Pess!F29</f>
        <v>3.0264149620436588E-2</v>
      </c>
      <c r="AC22" s="51">
        <f>Modello_Pess!AB30/Modello_Pess!F30</f>
        <v>2.7478862785424437E-2</v>
      </c>
      <c r="AD22" s="51">
        <f>Modello_Pess!AB31/Modello_Pess!F31</f>
        <v>2.4639350597855103E-2</v>
      </c>
      <c r="AE22" s="51">
        <f>Modello_Pess!AB32/Modello_Pess!F32</f>
        <v>2.1745861826399523E-2</v>
      </c>
      <c r="AF22" s="51">
        <f>Modello_Pess!AB33/Modello_Pess!F33</f>
        <v>1.8798640452026904E-2</v>
      </c>
      <c r="AG22" s="51">
        <f>Modello_Pess!AB34/Modello_Pess!F34</f>
        <v>1.579792571913731E-2</v>
      </c>
      <c r="AH22" s="51">
        <f>Modello_Pess!AB35/Modello_Pess!F35</f>
        <v>1.2743952186149264E-2</v>
      </c>
      <c r="AI22" s="51">
        <f>Modello_Pess!AB36/Modello_Pess!F36</f>
        <v>9.6369497755477655E-3</v>
      </c>
      <c r="AJ22" s="51">
        <f>Modello_Pess!AB37/Modello_Pess!F37</f>
        <v>6.4771438233980055E-3</v>
      </c>
      <c r="AK22" s="51">
        <f>Modello_Pess!AB38/Modello_Pess!F38</f>
        <v>3.2647551283300925E-3</v>
      </c>
    </row>
    <row r="23" spans="1:37" ht="15" customHeight="1" x14ac:dyDescent="0.2">
      <c r="A23" s="49" t="s">
        <v>569</v>
      </c>
      <c r="B23" s="48" t="s">
        <v>523</v>
      </c>
      <c r="C23" s="48" t="s">
        <v>474</v>
      </c>
      <c r="D23" s="67">
        <f>-Modello!AC5</f>
        <v>4.6257750000000007E-2</v>
      </c>
      <c r="E23" s="67">
        <f>-Modello!AC6</f>
        <v>0.10028044116288003</v>
      </c>
      <c r="F23" s="67">
        <f>-Modello!AC7</f>
        <v>0.16212524278208532</v>
      </c>
      <c r="G23" s="67">
        <f>-Modello!AC8</f>
        <v>0.23185014830419612</v>
      </c>
      <c r="H23" s="67">
        <f>-Modello!AC9</f>
        <v>0.3095139820886767</v>
      </c>
      <c r="I23" s="67">
        <f>-Modello!AC10</f>
        <v>0.39517640623018818</v>
      </c>
      <c r="J23" s="67">
        <f>-Modello!AC11</f>
        <v>0.4835478711871255</v>
      </c>
      <c r="K23" s="67">
        <f>-Modello!AC12</f>
        <v>0.57464945098217357</v>
      </c>
      <c r="L23" s="67">
        <f>-Modello!AC13</f>
        <v>0.66850249785494753</v>
      </c>
      <c r="M23" s="67">
        <f>-Modello!AC14</f>
        <v>0.76512864454444507</v>
      </c>
      <c r="N23" s="67">
        <f>-Modello!AC15</f>
        <v>0.8645498065922852</v>
      </c>
      <c r="O23" s="67">
        <f>-Modello!AC16</f>
        <v>0.96678818466690131</v>
      </c>
      <c r="P23" s="67">
        <f>-Modello!AC17</f>
        <v>1.071866266908861</v>
      </c>
      <c r="Q23" s="67">
        <f>-Modello!AC18</f>
        <v>1.1798068312974852</v>
      </c>
      <c r="R23" s="67">
        <f>-Modello!AC19</f>
        <v>1.2906329480389402</v>
      </c>
      <c r="S23" s="67">
        <f>-Modello!AC20</f>
        <v>1.4043679819759773</v>
      </c>
      <c r="T23" s="67">
        <f>-Modello!AC21</f>
        <v>1.5210355950194978</v>
      </c>
      <c r="U23" s="67">
        <f>-Modello!AC22</f>
        <v>1.6406597486021222</v>
      </c>
      <c r="V23" s="67">
        <f>-Modello!AC23</f>
        <v>1.7632647061539408</v>
      </c>
      <c r="W23" s="67">
        <f>-Modello!AC24</f>
        <v>1.888875035600631</v>
      </c>
      <c r="X23" s="67">
        <f>-Modello!AC25</f>
        <v>1.888875035600631</v>
      </c>
      <c r="Y23" s="67">
        <f>-Modello!AC26</f>
        <v>1.888875035600631</v>
      </c>
      <c r="Z23" s="67">
        <f>-Modello!AC27</f>
        <v>1.888875035600631</v>
      </c>
      <c r="AA23" s="67">
        <f>-Modello!AC28</f>
        <v>1.888875035600631</v>
      </c>
      <c r="AB23" s="67">
        <f>-Modello!AC29</f>
        <v>1.888875035600631</v>
      </c>
      <c r="AC23" s="67">
        <f>-Modello!AC30</f>
        <v>1.888875035600631</v>
      </c>
      <c r="AD23" s="67">
        <f>-Modello!AC31</f>
        <v>1.888875035600631</v>
      </c>
      <c r="AE23" s="67">
        <f>-Modello!AC32</f>
        <v>1.888875035600631</v>
      </c>
      <c r="AF23" s="67">
        <f>-Modello!AC33</f>
        <v>1.888875035600631</v>
      </c>
      <c r="AG23" s="67">
        <f>-Modello!AC34</f>
        <v>1.888875035600631</v>
      </c>
      <c r="AH23" s="67">
        <f>-Modello!AC35</f>
        <v>1.888875035600631</v>
      </c>
      <c r="AI23" s="67">
        <f>-Modello!AC36</f>
        <v>1.888875035600631</v>
      </c>
      <c r="AJ23" s="67">
        <f>-Modello!AC37</f>
        <v>1.888875035600631</v>
      </c>
      <c r="AK23" s="67">
        <f>-Modello!AC38</f>
        <v>1.888875035600631</v>
      </c>
    </row>
    <row r="24" spans="1:37" x14ac:dyDescent="0.2">
      <c r="A24" s="49" t="s">
        <v>569</v>
      </c>
      <c r="B24" s="48" t="s">
        <v>523</v>
      </c>
      <c r="C24" s="48" t="s">
        <v>475</v>
      </c>
      <c r="D24" s="67">
        <f>-Modello_Pess!AC5</f>
        <v>4.6257750000000007E-2</v>
      </c>
      <c r="E24" s="67">
        <f>-Modello_Pess!AC6</f>
        <v>0.10017261144000002</v>
      </c>
      <c r="F24" s="67">
        <f>-Modello_Pess!AC7</f>
        <v>0.16177077401625001</v>
      </c>
      <c r="G24" s="67">
        <f>-Modello_Pess!AC8</f>
        <v>0.23107899794165551</v>
      </c>
      <c r="H24" s="67">
        <f>-Modello_Pess!AC9</f>
        <v>0.30812461522635121</v>
      </c>
      <c r="I24" s="67">
        <f>-Modello_Pess!AC10</f>
        <v>0.39293553098201495</v>
      </c>
      <c r="J24" s="67">
        <f>-Modello_Pess!AC11</f>
        <v>0.48025392214955592</v>
      </c>
      <c r="K24" s="67">
        <f>-Modello_Pess!AC12</f>
        <v>0.57009022228890849</v>
      </c>
      <c r="L24" s="67">
        <f>-Modello_Pess!AC13</f>
        <v>0.66245504564471847</v>
      </c>
      <c r="M24" s="67">
        <f>-Modello_Pess!AC14</f>
        <v>0.75735918761501364</v>
      </c>
      <c r="N24" s="67">
        <f>-Modello_Pess!AC15</f>
        <v>0.85481362522734272</v>
      </c>
      <c r="O24" s="67">
        <f>-Modello_Pess!AC16</f>
        <v>0.95482951762239709</v>
      </c>
      <c r="P24" s="67">
        <f>-Modello_Pess!AC17</f>
        <v>1.0574182065451345</v>
      </c>
      <c r="Q24" s="67">
        <f>-Modello_Pess!AC18</f>
        <v>1.1625912168434205</v>
      </c>
      <c r="R24" s="67">
        <f>-Modello_Pess!AC19</f>
        <v>1.2703602569742072</v>
      </c>
      <c r="S24" s="67">
        <f>-Modello_Pess!AC20</f>
        <v>1.3807372195172656</v>
      </c>
      <c r="T24" s="67">
        <f>-Modello_Pess!AC21</f>
        <v>1.4937341816964904</v>
      </c>
      <c r="U24" s="67">
        <f>-Modello_Pess!AC22</f>
        <v>1.6093634059087958</v>
      </c>
      <c r="V24" s="67">
        <f>-Modello_Pess!AC23</f>
        <v>1.7276373402606213</v>
      </c>
      <c r="W24" s="67">
        <f>-Modello_Pess!AC24</f>
        <v>1.8485686191120654</v>
      </c>
      <c r="X24" s="67">
        <f>-Modello_Pess!AC25</f>
        <v>1.8485686191120654</v>
      </c>
      <c r="Y24" s="67">
        <f>-Modello_Pess!AC26</f>
        <v>1.8485686191120654</v>
      </c>
      <c r="Z24" s="67">
        <f>-Modello_Pess!AC27</f>
        <v>1.8485686191120654</v>
      </c>
      <c r="AA24" s="67">
        <f>-Modello_Pess!AC28</f>
        <v>1.8485686191120654</v>
      </c>
      <c r="AB24" s="67">
        <f>-Modello_Pess!AC29</f>
        <v>1.8485686191120654</v>
      </c>
      <c r="AC24" s="67">
        <f>-Modello_Pess!AC30</f>
        <v>1.8485686191120654</v>
      </c>
      <c r="AD24" s="67">
        <f>-Modello_Pess!AC31</f>
        <v>1.8485686191120654</v>
      </c>
      <c r="AE24" s="67">
        <f>-Modello_Pess!AC32</f>
        <v>1.8485686191120654</v>
      </c>
      <c r="AF24" s="67">
        <f>-Modello_Pess!AC33</f>
        <v>1.8485686191120654</v>
      </c>
      <c r="AG24" s="67">
        <f>-Modello_Pess!AC34</f>
        <v>1.8485686191120654</v>
      </c>
      <c r="AH24" s="67">
        <f>-Modello_Pess!AC35</f>
        <v>1.8485686191120654</v>
      </c>
      <c r="AI24" s="67">
        <f>-Modello_Pess!AC36</f>
        <v>1.8485686191120654</v>
      </c>
      <c r="AJ24" s="67">
        <f>-Modello_Pess!AC37</f>
        <v>1.8485686191120654</v>
      </c>
      <c r="AK24" s="67">
        <f>-Modello_Pess!AC38</f>
        <v>1.8485686191120654</v>
      </c>
    </row>
    <row r="25" spans="1:37" ht="15" customHeight="1" x14ac:dyDescent="0.2">
      <c r="A25" s="86" t="s">
        <v>570</v>
      </c>
      <c r="B25" s="86"/>
      <c r="C25" s="86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</row>
    <row r="26" spans="1:37" ht="18" customHeight="1" x14ac:dyDescent="0.2">
      <c r="A26" s="49" t="s">
        <v>571</v>
      </c>
      <c r="B26" s="48" t="s">
        <v>523</v>
      </c>
      <c r="C26" s="48" t="s">
        <v>474</v>
      </c>
      <c r="D26" s="67">
        <f>Modello!Z5-Modello!AA5</f>
        <v>3.0838500000000004</v>
      </c>
      <c r="E26" s="67">
        <f>Modello!Z6-Modello!AA6</f>
        <v>3.601512744192001</v>
      </c>
      <c r="F26" s="67">
        <f>Modello!Z7-Modello!AA7</f>
        <v>4.122986774613687</v>
      </c>
      <c r="G26" s="67">
        <f>Modello!Z8-Modello!AA8</f>
        <v>4.6483270348073873</v>
      </c>
      <c r="H26" s="67">
        <f>Modello!Z9-Modello!AA9</f>
        <v>5.1775889189653741</v>
      </c>
      <c r="I26" s="67">
        <f>Modello!Z10-Modello!AA10</f>
        <v>5.7108282761007629</v>
      </c>
      <c r="J26" s="67">
        <f>Modello!Z11-Modello!AA11</f>
        <v>5.8914309971291541</v>
      </c>
      <c r="K26" s="67">
        <f>Modello!Z12-Modello!AA12</f>
        <v>6.0734386530032047</v>
      </c>
      <c r="L26" s="67">
        <f>Modello!Z13-Modello!AA13</f>
        <v>6.2568697915182598</v>
      </c>
      <c r="M26" s="67">
        <f>Modello!Z14-Modello!AA14</f>
        <v>6.441743112633171</v>
      </c>
      <c r="N26" s="67">
        <f>Modello!Z15-Modello!AA15</f>
        <v>6.6280774698560059</v>
      </c>
      <c r="O26" s="67">
        <f>Modello!Z16-Modello!AA16</f>
        <v>6.8158918716410648</v>
      </c>
      <c r="P26" s="67">
        <f>Modello!Z17-Modello!AA17</f>
        <v>7.0052054827973089</v>
      </c>
      <c r="Q26" s="67">
        <f>Modello!Z18-Modello!AA18</f>
        <v>7.1960376259082874</v>
      </c>
      <c r="R26" s="67">
        <f>Modello!Z19-Modello!AA19</f>
        <v>7.3884077827636716</v>
      </c>
      <c r="S26" s="67">
        <f>Modello!Z20-Modello!AA20</f>
        <v>7.5823355958024701</v>
      </c>
      <c r="T26" s="67">
        <f>Modello!Z21-Modello!AA21</f>
        <v>7.7778408695680321</v>
      </c>
      <c r="U26" s="67">
        <f>Modello!Z22-Modello!AA22</f>
        <v>7.9749435721749471</v>
      </c>
      <c r="V26" s="67">
        <f>Modello!Z23-Modello!AA23</f>
        <v>8.1736638367879078</v>
      </c>
      <c r="W26" s="67">
        <f>Modello!Z24-Modello!AA24</f>
        <v>8.3740219631126767</v>
      </c>
      <c r="X26" s="67">
        <f>Modello!Z25-Modello!AA25</f>
        <v>0</v>
      </c>
      <c r="Y26" s="67">
        <f>Modello!Z26-Modello!AA26</f>
        <v>0</v>
      </c>
      <c r="Z26" s="67">
        <f>Modello!Z27-Modello!AA27</f>
        <v>0</v>
      </c>
      <c r="AA26" s="67">
        <f>Modello!Z28-Modello!AA28</f>
        <v>0</v>
      </c>
      <c r="AB26" s="67">
        <f>Modello!Z29-Modello!AA29</f>
        <v>0</v>
      </c>
      <c r="AC26" s="67">
        <f>Modello!Z30-Modello!AA30</f>
        <v>0</v>
      </c>
      <c r="AD26" s="67">
        <f>Modello!Z31-Modello!AA31</f>
        <v>0</v>
      </c>
      <c r="AE26" s="67">
        <f>Modello!Z32-Modello!AA32</f>
        <v>0</v>
      </c>
      <c r="AF26" s="67">
        <f>Modello!Z33-Modello!AA33</f>
        <v>0</v>
      </c>
      <c r="AG26" s="67">
        <f>Modello!Z34-Modello!AA34</f>
        <v>0</v>
      </c>
      <c r="AH26" s="67">
        <f>Modello!Z35-Modello!AA35</f>
        <v>0</v>
      </c>
      <c r="AI26" s="67">
        <f>Modello!Z36-Modello!AA36</f>
        <v>0</v>
      </c>
      <c r="AJ26" s="67">
        <f>Modello!Z37-Modello!AA37</f>
        <v>0</v>
      </c>
      <c r="AK26" s="67">
        <f>Modello!Z38-Modello!AA38</f>
        <v>0</v>
      </c>
    </row>
    <row r="27" spans="1:37" ht="15" customHeight="1" x14ac:dyDescent="0.2">
      <c r="A27" s="49" t="s">
        <v>571</v>
      </c>
      <c r="B27" s="48" t="s">
        <v>523</v>
      </c>
      <c r="C27" s="48" t="s">
        <v>475</v>
      </c>
      <c r="D27" s="67">
        <f>Modello_Pess!Z5-Modello_Pess!AA5</f>
        <v>3.0838500000000004</v>
      </c>
      <c r="E27" s="67">
        <f>Modello_Pess!Z6-Modello_Pess!AA6</f>
        <v>3.5943240960000007</v>
      </c>
      <c r="F27" s="67">
        <f>Modello_Pess!Z7-Modello_Pess!AA7</f>
        <v>4.1065441717499995</v>
      </c>
      <c r="G27" s="67">
        <f>Modello_Pess!Z8-Modello_Pess!AA8</f>
        <v>4.620548261693699</v>
      </c>
      <c r="H27" s="67">
        <f>Modello_Pess!Z9-Modello_Pess!AA9</f>
        <v>5.1363744856463818</v>
      </c>
      <c r="I27" s="67">
        <f>Modello_Pess!Z10-Modello_Pess!AA10</f>
        <v>5.6540610503775817</v>
      </c>
      <c r="J27" s="67">
        <f>Modello_Pess!Z11-Modello_Pess!AA11</f>
        <v>5.8212260778360658</v>
      </c>
      <c r="K27" s="67">
        <f>Modello_Pess!Z12-Modello_Pess!AA12</f>
        <v>5.9890866759568429</v>
      </c>
      <c r="L27" s="67">
        <f>Modello_Pess!Z13-Modello_Pess!AA13</f>
        <v>6.1576548903873283</v>
      </c>
      <c r="M27" s="67">
        <f>Modello_Pess!Z14-Modello_Pess!AA14</f>
        <v>6.3269427980196795</v>
      </c>
      <c r="N27" s="67">
        <f>Modello_Pess!Z15-Modello_Pess!AA15</f>
        <v>6.4969625074886057</v>
      </c>
      <c r="O27" s="67">
        <f>Modello_Pess!Z16-Modello_Pess!AA16</f>
        <v>6.6677261596702913</v>
      </c>
      <c r="P27" s="67">
        <f>Modello_Pess!Z17-Modello_Pess!AA17</f>
        <v>6.8392459281824864</v>
      </c>
      <c r="Q27" s="67">
        <f>Modello_Pess!Z18-Modello_Pess!AA18</f>
        <v>7.0115340198857314</v>
      </c>
      <c r="R27" s="67">
        <f>Modello_Pess!Z19-Modello_Pess!AA19</f>
        <v>7.1846026753857819</v>
      </c>
      <c r="S27" s="67">
        <f>Modello_Pess!Z20-Modello_Pess!AA20</f>
        <v>7.3584641695372301</v>
      </c>
      <c r="T27" s="67">
        <f>Modello_Pess!Z21-Modello_Pess!AA21</f>
        <v>7.53313081194832</v>
      </c>
      <c r="U27" s="67">
        <f>Modello_Pess!Z22-Modello_Pess!AA22</f>
        <v>7.7086149474870282</v>
      </c>
      <c r="V27" s="67">
        <f>Modello_Pess!Z23-Modello_Pess!AA23</f>
        <v>7.8849289567883609</v>
      </c>
      <c r="W27" s="67">
        <f>Modello_Pess!Z24-Modello_Pess!AA24</f>
        <v>8.0620852567629466</v>
      </c>
      <c r="X27" s="67">
        <f>Modello_Pess!Z25-Modello_Pess!AA25</f>
        <v>0</v>
      </c>
      <c r="Y27" s="67">
        <f>Modello_Pess!Z26-Modello_Pess!AA26</f>
        <v>0</v>
      </c>
      <c r="Z27" s="67">
        <f>Modello_Pess!Z27-Modello_Pess!AA27</f>
        <v>0</v>
      </c>
      <c r="AA27" s="67">
        <f>Modello_Pess!Z28-Modello_Pess!AA28</f>
        <v>0</v>
      </c>
      <c r="AB27" s="67">
        <f>Modello_Pess!Z29-Modello_Pess!AA29</f>
        <v>0</v>
      </c>
      <c r="AC27" s="67">
        <f>Modello_Pess!Z30-Modello_Pess!AA30</f>
        <v>0</v>
      </c>
      <c r="AD27" s="67">
        <f>Modello_Pess!Z31-Modello_Pess!AA31</f>
        <v>0</v>
      </c>
      <c r="AE27" s="67">
        <f>Modello_Pess!Z32-Modello_Pess!AA32</f>
        <v>0</v>
      </c>
      <c r="AF27" s="67">
        <f>Modello_Pess!Z33-Modello_Pess!AA33</f>
        <v>0</v>
      </c>
      <c r="AG27" s="67">
        <f>Modello_Pess!Z34-Modello_Pess!AA34</f>
        <v>0</v>
      </c>
      <c r="AH27" s="67">
        <f>Modello_Pess!Z35-Modello_Pess!AA35</f>
        <v>0</v>
      </c>
      <c r="AI27" s="67">
        <f>Modello_Pess!Z36-Modello_Pess!AA36</f>
        <v>0</v>
      </c>
      <c r="AJ27" s="67">
        <f>Modello_Pess!Z37-Modello_Pess!AA37</f>
        <v>0</v>
      </c>
      <c r="AK27" s="67">
        <f>Modello_Pess!Z38-Modello_Pess!AA38</f>
        <v>0</v>
      </c>
    </row>
    <row r="28" spans="1:37" ht="15" customHeight="1" x14ac:dyDescent="0.2">
      <c r="A28" s="49" t="s">
        <v>572</v>
      </c>
      <c r="B28" s="48" t="s">
        <v>523</v>
      </c>
      <c r="C28" s="48" t="s">
        <v>474</v>
      </c>
      <c r="D28" s="67">
        <f>Dinamica!D106</f>
        <v>3.0838500000000004</v>
      </c>
      <c r="E28" s="67">
        <f>Dinamica!E106</f>
        <v>6.6853627441920018</v>
      </c>
      <c r="F28" s="67">
        <f>Dinamica!F106</f>
        <v>10.808349518805688</v>
      </c>
      <c r="G28" s="67">
        <f>Dinamica!G106</f>
        <v>15.456676553613075</v>
      </c>
      <c r="H28" s="67">
        <f>Dinamica!H106</f>
        <v>20.634265472578448</v>
      </c>
      <c r="I28" s="67">
        <f>Dinamica!I106</f>
        <v>26.345093748679211</v>
      </c>
      <c r="J28" s="67">
        <f>Dinamica!J106</f>
        <v>32.236524745808367</v>
      </c>
      <c r="K28" s="67">
        <f>Dinamica!K106</f>
        <v>38.309963398811576</v>
      </c>
      <c r="L28" s="67">
        <f>Dinamica!L106</f>
        <v>44.566833190329838</v>
      </c>
      <c r="M28" s="67">
        <f>Dinamica!M106</f>
        <v>51.008576302963007</v>
      </c>
      <c r="N28" s="67">
        <f>Dinamica!N106</f>
        <v>57.636653772819017</v>
      </c>
      <c r="O28" s="67">
        <f>Dinamica!O106</f>
        <v>64.452545644460088</v>
      </c>
      <c r="P28" s="67">
        <f>Dinamica!P106</f>
        <v>71.457751127257396</v>
      </c>
      <c r="Q28" s="67">
        <f>Dinamica!Q106</f>
        <v>78.653788753165685</v>
      </c>
      <c r="R28" s="67">
        <f>Dinamica!R106</f>
        <v>86.042196535929349</v>
      </c>
      <c r="S28" s="67">
        <f>Dinamica!S106</f>
        <v>90.540682131731828</v>
      </c>
      <c r="T28" s="67">
        <f>Dinamica!T106</f>
        <v>94.717010257107859</v>
      </c>
      <c r="U28" s="67">
        <f>Dinamica!U106</f>
        <v>98.56896705466913</v>
      </c>
      <c r="V28" s="67">
        <f>Dinamica!V106</f>
        <v>102.09430385664965</v>
      </c>
      <c r="W28" s="67">
        <f>Dinamica!W106</f>
        <v>105.29073690079696</v>
      </c>
      <c r="X28" s="67">
        <f>Dinamica!X106</f>
        <v>99.579908624696202</v>
      </c>
      <c r="Y28" s="67">
        <f>Dinamica!Y106</f>
        <v>93.688477627567039</v>
      </c>
      <c r="Z28" s="67">
        <f>Dinamica!Z106</f>
        <v>87.615038974563831</v>
      </c>
      <c r="AA28" s="67">
        <f>Dinamica!AA106</f>
        <v>81.358169183045561</v>
      </c>
      <c r="AB28" s="67">
        <f>Dinamica!AB106</f>
        <v>74.916426070412399</v>
      </c>
      <c r="AC28" s="67">
        <f>Dinamica!AC106</f>
        <v>68.28834860055639</v>
      </c>
      <c r="AD28" s="67">
        <f>Dinamica!AD106</f>
        <v>61.472456728915319</v>
      </c>
      <c r="AE28" s="67">
        <f>Dinamica!AE106</f>
        <v>54.46725124611801</v>
      </c>
      <c r="AF28" s="67">
        <f>Dinamica!AF106</f>
        <v>47.271213620209721</v>
      </c>
      <c r="AG28" s="67">
        <f>Dinamica!AG106</f>
        <v>39.882805837446057</v>
      </c>
      <c r="AH28" s="67">
        <f>Dinamica!AH106</f>
        <v>32.30047024164358</v>
      </c>
      <c r="AI28" s="67">
        <f>Dinamica!AI106</f>
        <v>24.522629372075542</v>
      </c>
      <c r="AJ28" s="67">
        <f>Dinamica!AJ106</f>
        <v>16.547685799900592</v>
      </c>
      <c r="AK28" s="67">
        <f>Dinamica!AK106</f>
        <v>8.374021963112682</v>
      </c>
    </row>
    <row r="29" spans="1:37" ht="15" customHeight="1" x14ac:dyDescent="0.2">
      <c r="A29" s="49" t="s">
        <v>572</v>
      </c>
      <c r="B29" s="48" t="s">
        <v>523</v>
      </c>
      <c r="C29" s="48" t="s">
        <v>475</v>
      </c>
      <c r="D29" s="67">
        <f>Dinamica_Pess!D88</f>
        <v>3.0838500000000004</v>
      </c>
      <c r="E29" s="67">
        <f>Dinamica_Pess!E88</f>
        <v>6.6781740960000011</v>
      </c>
      <c r="F29" s="67">
        <f>Dinamica_Pess!F88</f>
        <v>10.784718267750002</v>
      </c>
      <c r="G29" s="67">
        <f>Dinamica_Pess!G88</f>
        <v>15.405266529443701</v>
      </c>
      <c r="H29" s="67">
        <f>Dinamica_Pess!H88</f>
        <v>20.541641015090082</v>
      </c>
      <c r="I29" s="67">
        <f>Dinamica_Pess!I88</f>
        <v>26.195702065467664</v>
      </c>
      <c r="J29" s="67">
        <f>Dinamica_Pess!J88</f>
        <v>32.01692814330373</v>
      </c>
      <c r="K29" s="67">
        <f>Dinamica_Pess!K88</f>
        <v>38.006014819260571</v>
      </c>
      <c r="L29" s="67">
        <f>Dinamica_Pess!L88</f>
        <v>44.163669709647898</v>
      </c>
      <c r="M29" s="67">
        <f>Dinamica_Pess!M88</f>
        <v>50.490612507667578</v>
      </c>
      <c r="N29" s="67">
        <f>Dinamica_Pess!N88</f>
        <v>56.987575015156182</v>
      </c>
      <c r="O29" s="67">
        <f>Dinamica_Pess!O88</f>
        <v>63.655301174826477</v>
      </c>
      <c r="P29" s="67">
        <f>Dinamica_Pess!P88</f>
        <v>70.494547103008969</v>
      </c>
      <c r="Q29" s="67">
        <f>Dinamica_Pess!Q88</f>
        <v>77.506081122894699</v>
      </c>
      <c r="R29" s="67">
        <f>Dinamica_Pess!R88</f>
        <v>84.690683798280475</v>
      </c>
      <c r="S29" s="67">
        <f>Dinamica_Pess!S88</f>
        <v>88.965297967817705</v>
      </c>
      <c r="T29" s="67">
        <f>Dinamica_Pess!T88</f>
        <v>92.904104683766022</v>
      </c>
      <c r="U29" s="67">
        <f>Dinamica_Pess!U88</f>
        <v>96.506175459503055</v>
      </c>
      <c r="V29" s="67">
        <f>Dinamica_Pess!V88</f>
        <v>99.770556154597728</v>
      </c>
      <c r="W29" s="67">
        <f>Dinamica_Pess!W88</f>
        <v>102.69626692571428</v>
      </c>
      <c r="X29" s="67">
        <f>Dinamica_Pess!X88</f>
        <v>97.042205875336691</v>
      </c>
      <c r="Y29" s="67">
        <f>Dinamica_Pess!Y88</f>
        <v>91.220979797500632</v>
      </c>
      <c r="Z29" s="67">
        <f>Dinamica_Pess!Z88</f>
        <v>85.231893121543791</v>
      </c>
      <c r="AA29" s="67">
        <f>Dinamica_Pess!AA88</f>
        <v>79.074238231156471</v>
      </c>
      <c r="AB29" s="67">
        <f>Dinamica_Pess!AB88</f>
        <v>72.747295433136784</v>
      </c>
      <c r="AC29" s="67">
        <f>Dinamica_Pess!AC88</f>
        <v>66.250332925648181</v>
      </c>
      <c r="AD29" s="67">
        <f>Dinamica_Pess!AD88</f>
        <v>59.582606765977886</v>
      </c>
      <c r="AE29" s="67">
        <f>Dinamica_Pess!AE88</f>
        <v>52.743360837795393</v>
      </c>
      <c r="AF29" s="67">
        <f>Dinamica_Pess!AF88</f>
        <v>45.731826817909663</v>
      </c>
      <c r="AG29" s="67">
        <f>Dinamica_Pess!AG88</f>
        <v>38.547224142523888</v>
      </c>
      <c r="AH29" s="67">
        <f>Dinamica_Pess!AH88</f>
        <v>31.188759972986659</v>
      </c>
      <c r="AI29" s="67">
        <f>Dinamica_Pess!AI88</f>
        <v>23.655629161038334</v>
      </c>
      <c r="AJ29" s="67">
        <f>Dinamica_Pess!AJ88</f>
        <v>15.947014213551299</v>
      </c>
      <c r="AK29" s="67">
        <f>Dinamica_Pess!AK88</f>
        <v>8.0620852567629413</v>
      </c>
    </row>
    <row r="30" spans="1:37" ht="15" customHeight="1" x14ac:dyDescent="0.2">
      <c r="A30" s="86" t="s">
        <v>573</v>
      </c>
      <c r="B30" s="86"/>
      <c r="C30" s="86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</row>
    <row r="31" spans="1:37" ht="15" customHeight="1" x14ac:dyDescent="0.2">
      <c r="A31" s="49" t="s">
        <v>574</v>
      </c>
      <c r="B31" s="48" t="s">
        <v>523</v>
      </c>
      <c r="C31" s="48" t="s">
        <v>474</v>
      </c>
      <c r="D31" s="67">
        <f>Modello!AA5</f>
        <v>0</v>
      </c>
      <c r="E31" s="67">
        <f>Modello!AA6</f>
        <v>0</v>
      </c>
      <c r="F31" s="67">
        <f>Modello!AA7</f>
        <v>0</v>
      </c>
      <c r="G31" s="67">
        <f>Modello!AA8</f>
        <v>0</v>
      </c>
      <c r="H31" s="67">
        <f>Modello!AA9</f>
        <v>0</v>
      </c>
      <c r="I31" s="67">
        <f>Modello!AA10</f>
        <v>0</v>
      </c>
      <c r="J31" s="67">
        <f>Modello!AA11</f>
        <v>0</v>
      </c>
      <c r="K31" s="67">
        <f>Modello!AA12</f>
        <v>0</v>
      </c>
      <c r="L31" s="67">
        <f>Modello!AA13</f>
        <v>0</v>
      </c>
      <c r="M31" s="67">
        <f>Modello!AA14</f>
        <v>0</v>
      </c>
      <c r="N31" s="67">
        <f>Modello!AA15</f>
        <v>0</v>
      </c>
      <c r="O31" s="67">
        <f>Modello!AA16</f>
        <v>0</v>
      </c>
      <c r="P31" s="67">
        <f>Modello!AA17</f>
        <v>0</v>
      </c>
      <c r="Q31" s="67">
        <f>Modello!AA18</f>
        <v>0</v>
      </c>
      <c r="R31" s="67">
        <f>Modello!AA19</f>
        <v>0</v>
      </c>
      <c r="S31" s="67">
        <f>Modello!AA20</f>
        <v>0</v>
      </c>
      <c r="T31" s="67">
        <f>Modello!AA21</f>
        <v>0</v>
      </c>
      <c r="U31" s="67">
        <f>Modello!AA22</f>
        <v>0</v>
      </c>
      <c r="V31" s="67">
        <f>Modello!AA23</f>
        <v>0</v>
      </c>
      <c r="W31" s="67">
        <f>Modello!AA24</f>
        <v>0</v>
      </c>
      <c r="X31" s="67">
        <f>Modello!AA25</f>
        <v>0</v>
      </c>
      <c r="Y31" s="67">
        <f>Modello!AA26</f>
        <v>0</v>
      </c>
      <c r="Z31" s="67">
        <f>Modello!AA27</f>
        <v>0</v>
      </c>
      <c r="AA31" s="67">
        <f>Modello!AA28</f>
        <v>0</v>
      </c>
      <c r="AB31" s="67">
        <f>Modello!AA29</f>
        <v>0</v>
      </c>
      <c r="AC31" s="67">
        <f>Modello!AA30</f>
        <v>0</v>
      </c>
      <c r="AD31" s="67">
        <f>Modello!AA31</f>
        <v>0</v>
      </c>
      <c r="AE31" s="67">
        <f>Modello!AA32</f>
        <v>0</v>
      </c>
      <c r="AF31" s="67">
        <f>Modello!AA33</f>
        <v>0</v>
      </c>
      <c r="AG31" s="67">
        <f>Modello!AA34</f>
        <v>0</v>
      </c>
      <c r="AH31" s="67">
        <f>Modello!AA35</f>
        <v>0</v>
      </c>
      <c r="AI31" s="67">
        <f>Modello!AA36</f>
        <v>0</v>
      </c>
      <c r="AJ31" s="67">
        <f>Modello!AA37</f>
        <v>0</v>
      </c>
      <c r="AK31" s="67">
        <f>Modello!AA38</f>
        <v>0</v>
      </c>
    </row>
    <row r="32" spans="1:37" ht="15" customHeight="1" x14ac:dyDescent="0.2">
      <c r="A32" s="49" t="s">
        <v>574</v>
      </c>
      <c r="B32" s="48" t="s">
        <v>523</v>
      </c>
      <c r="C32" s="48" t="s">
        <v>475</v>
      </c>
      <c r="D32" s="67">
        <f>Modello_Pess!AA5</f>
        <v>0</v>
      </c>
      <c r="E32" s="67">
        <f>Modello_Pess!AA6</f>
        <v>0</v>
      </c>
      <c r="F32" s="67">
        <f>Modello_Pess!AA7</f>
        <v>0</v>
      </c>
      <c r="G32" s="67">
        <f>Modello_Pess!AA8</f>
        <v>0</v>
      </c>
      <c r="H32" s="67">
        <f>Modello_Pess!AA9</f>
        <v>0</v>
      </c>
      <c r="I32" s="67">
        <f>Modello_Pess!AA10</f>
        <v>0</v>
      </c>
      <c r="J32" s="67">
        <f>Modello_Pess!AA11</f>
        <v>0</v>
      </c>
      <c r="K32" s="67">
        <f>Modello_Pess!AA12</f>
        <v>0</v>
      </c>
      <c r="L32" s="67">
        <f>Modello_Pess!AA13</f>
        <v>0</v>
      </c>
      <c r="M32" s="67">
        <f>Modello_Pess!AA14</f>
        <v>0</v>
      </c>
      <c r="N32" s="67">
        <f>Modello_Pess!AA15</f>
        <v>0</v>
      </c>
      <c r="O32" s="67">
        <f>Modello_Pess!AA16</f>
        <v>0</v>
      </c>
      <c r="P32" s="67">
        <f>Modello_Pess!AA17</f>
        <v>0</v>
      </c>
      <c r="Q32" s="67">
        <f>Modello_Pess!AA18</f>
        <v>0</v>
      </c>
      <c r="R32" s="67">
        <f>Modello_Pess!AA19</f>
        <v>0</v>
      </c>
      <c r="S32" s="67">
        <f>Modello_Pess!AA20</f>
        <v>0</v>
      </c>
      <c r="T32" s="67">
        <f>Modello_Pess!AA21</f>
        <v>0</v>
      </c>
      <c r="U32" s="67">
        <f>Modello_Pess!AA22</f>
        <v>0</v>
      </c>
      <c r="V32" s="67">
        <f>Modello_Pess!AA23</f>
        <v>0</v>
      </c>
      <c r="W32" s="67">
        <f>Modello_Pess!AA24</f>
        <v>0</v>
      </c>
      <c r="X32" s="67">
        <f>Modello_Pess!AA25</f>
        <v>0</v>
      </c>
      <c r="Y32" s="67">
        <f>Modello_Pess!AA26</f>
        <v>0</v>
      </c>
      <c r="Z32" s="67">
        <f>Modello_Pess!AA27</f>
        <v>0</v>
      </c>
      <c r="AA32" s="67">
        <f>Modello_Pess!AA28</f>
        <v>0</v>
      </c>
      <c r="AB32" s="67">
        <f>Modello_Pess!AA29</f>
        <v>0</v>
      </c>
      <c r="AC32" s="67">
        <f>Modello_Pess!AA30</f>
        <v>0</v>
      </c>
      <c r="AD32" s="67">
        <f>Modello_Pess!AA31</f>
        <v>0</v>
      </c>
      <c r="AE32" s="67">
        <f>Modello_Pess!AA32</f>
        <v>0</v>
      </c>
      <c r="AF32" s="67">
        <f>Modello_Pess!AA33</f>
        <v>0</v>
      </c>
      <c r="AG32" s="67">
        <f>Modello_Pess!AA34</f>
        <v>0</v>
      </c>
      <c r="AH32" s="67">
        <f>Modello_Pess!AA35</f>
        <v>0</v>
      </c>
      <c r="AI32" s="67">
        <f>Modello_Pess!AA36</f>
        <v>0</v>
      </c>
      <c r="AJ32" s="67">
        <f>Modello_Pess!AA37</f>
        <v>0</v>
      </c>
      <c r="AK32" s="67">
        <f>Modello_Pess!AA38</f>
        <v>0</v>
      </c>
    </row>
    <row r="33" spans="1:37" ht="15" customHeight="1" x14ac:dyDescent="0.2">
      <c r="A33" s="49" t="s">
        <v>575</v>
      </c>
      <c r="B33" s="48" t="s">
        <v>523</v>
      </c>
      <c r="C33" s="48" t="s">
        <v>474</v>
      </c>
      <c r="D33" s="67">
        <f>Dinamica!D101</f>
        <v>0</v>
      </c>
      <c r="E33" s="67">
        <f>Dinamica!E101</f>
        <v>0</v>
      </c>
      <c r="F33" s="67">
        <f>Dinamica!F101</f>
        <v>0</v>
      </c>
      <c r="G33" s="67">
        <f>Dinamica!G101</f>
        <v>0</v>
      </c>
      <c r="H33" s="67">
        <f>Dinamica!H101</f>
        <v>0</v>
      </c>
      <c r="I33" s="67">
        <f>Dinamica!I101</f>
        <v>0</v>
      </c>
      <c r="J33" s="67">
        <f>Dinamica!J101</f>
        <v>0</v>
      </c>
      <c r="K33" s="67">
        <f>Dinamica!K101</f>
        <v>0</v>
      </c>
      <c r="L33" s="67">
        <f>Dinamica!L101</f>
        <v>0</v>
      </c>
      <c r="M33" s="67">
        <f>Dinamica!M101</f>
        <v>0</v>
      </c>
      <c r="N33" s="67">
        <f>Dinamica!N101</f>
        <v>0</v>
      </c>
      <c r="O33" s="67">
        <f>Dinamica!O101</f>
        <v>0</v>
      </c>
      <c r="P33" s="67">
        <f>Dinamica!P101</f>
        <v>0</v>
      </c>
      <c r="Q33" s="67">
        <f>Dinamica!Q101</f>
        <v>0</v>
      </c>
      <c r="R33" s="67">
        <f>Dinamica!R101</f>
        <v>0</v>
      </c>
      <c r="S33" s="67">
        <f>Dinamica!S101</f>
        <v>0</v>
      </c>
      <c r="T33" s="67">
        <f>Dinamica!T101</f>
        <v>0</v>
      </c>
      <c r="U33" s="67">
        <f>Dinamica!U101</f>
        <v>0</v>
      </c>
      <c r="V33" s="67">
        <f>Dinamica!V101</f>
        <v>0</v>
      </c>
      <c r="W33" s="67">
        <f>Dinamica!W101</f>
        <v>0</v>
      </c>
      <c r="X33" s="67">
        <f>Dinamica!X101</f>
        <v>0</v>
      </c>
      <c r="Y33" s="67">
        <f>Dinamica!Y101</f>
        <v>0</v>
      </c>
      <c r="Z33" s="67">
        <f>Dinamica!Z101</f>
        <v>0</v>
      </c>
      <c r="AA33" s="67">
        <f>Dinamica!AA101</f>
        <v>0</v>
      </c>
      <c r="AB33" s="67">
        <f>Dinamica!AB101</f>
        <v>0</v>
      </c>
      <c r="AC33" s="67">
        <f>Dinamica!AC101</f>
        <v>0</v>
      </c>
      <c r="AD33" s="67">
        <f>Dinamica!AD101</f>
        <v>0</v>
      </c>
      <c r="AE33" s="67">
        <f>Dinamica!AE101</f>
        <v>0</v>
      </c>
      <c r="AF33" s="67">
        <f>Dinamica!AF101</f>
        <v>0</v>
      </c>
      <c r="AG33" s="67">
        <f>Dinamica!AG101</f>
        <v>0</v>
      </c>
      <c r="AH33" s="67">
        <f>Dinamica!AH101</f>
        <v>0</v>
      </c>
      <c r="AI33" s="67">
        <f>Dinamica!AI101</f>
        <v>0</v>
      </c>
      <c r="AJ33" s="67">
        <f>Dinamica!AJ101</f>
        <v>0</v>
      </c>
      <c r="AK33" s="67">
        <f>Dinamica!AK101</f>
        <v>0</v>
      </c>
    </row>
    <row r="34" spans="1:37" ht="15" customHeight="1" x14ac:dyDescent="0.2">
      <c r="A34" s="49" t="s">
        <v>575</v>
      </c>
      <c r="B34" s="48" t="s">
        <v>523</v>
      </c>
      <c r="C34" s="48" t="s">
        <v>475</v>
      </c>
      <c r="D34" s="67">
        <f>Dinamica_Pess!D83</f>
        <v>0</v>
      </c>
      <c r="E34" s="67">
        <f>Dinamica_Pess!E83</f>
        <v>0</v>
      </c>
      <c r="F34" s="67">
        <f>Dinamica_Pess!F83</f>
        <v>0</v>
      </c>
      <c r="G34" s="67">
        <f>Dinamica_Pess!G83</f>
        <v>0</v>
      </c>
      <c r="H34" s="67">
        <f>Dinamica_Pess!H83</f>
        <v>0</v>
      </c>
      <c r="I34" s="67">
        <f>Dinamica_Pess!I83</f>
        <v>0</v>
      </c>
      <c r="J34" s="67">
        <f>Dinamica_Pess!J83</f>
        <v>0</v>
      </c>
      <c r="K34" s="67">
        <f>Dinamica_Pess!K83</f>
        <v>0</v>
      </c>
      <c r="L34" s="67">
        <f>Dinamica_Pess!L83</f>
        <v>0</v>
      </c>
      <c r="M34" s="67">
        <f>Dinamica_Pess!M83</f>
        <v>0</v>
      </c>
      <c r="N34" s="67">
        <f>Dinamica_Pess!N83</f>
        <v>0</v>
      </c>
      <c r="O34" s="67">
        <f>Dinamica_Pess!O83</f>
        <v>0</v>
      </c>
      <c r="P34" s="67">
        <f>Dinamica_Pess!P83</f>
        <v>0</v>
      </c>
      <c r="Q34" s="67">
        <f>Dinamica_Pess!Q83</f>
        <v>0</v>
      </c>
      <c r="R34" s="67">
        <f>Dinamica_Pess!R83</f>
        <v>0</v>
      </c>
      <c r="S34" s="67">
        <f>Dinamica_Pess!S83</f>
        <v>0</v>
      </c>
      <c r="T34" s="67">
        <f>Dinamica_Pess!T83</f>
        <v>0</v>
      </c>
      <c r="U34" s="67">
        <f>Dinamica_Pess!U83</f>
        <v>0</v>
      </c>
      <c r="V34" s="67">
        <f>Dinamica_Pess!V83</f>
        <v>0</v>
      </c>
      <c r="W34" s="67">
        <f>Dinamica_Pess!W83</f>
        <v>0</v>
      </c>
      <c r="X34" s="67">
        <f>Dinamica_Pess!X83</f>
        <v>0</v>
      </c>
      <c r="Y34" s="67">
        <f>Dinamica_Pess!Y83</f>
        <v>0</v>
      </c>
      <c r="Z34" s="67">
        <f>Dinamica_Pess!Z83</f>
        <v>0</v>
      </c>
      <c r="AA34" s="67">
        <f>Dinamica_Pess!AA83</f>
        <v>0</v>
      </c>
      <c r="AB34" s="67">
        <f>Dinamica_Pess!AB83</f>
        <v>0</v>
      </c>
      <c r="AC34" s="67">
        <f>Dinamica_Pess!AC83</f>
        <v>0</v>
      </c>
      <c r="AD34" s="67">
        <f>Dinamica_Pess!AD83</f>
        <v>0</v>
      </c>
      <c r="AE34" s="67">
        <f>Dinamica_Pess!AE83</f>
        <v>0</v>
      </c>
      <c r="AF34" s="67">
        <f>Dinamica_Pess!AF83</f>
        <v>0</v>
      </c>
      <c r="AG34" s="67">
        <f>Dinamica_Pess!AG83</f>
        <v>0</v>
      </c>
      <c r="AH34" s="67">
        <f>Dinamica_Pess!AH83</f>
        <v>0</v>
      </c>
      <c r="AI34" s="67">
        <f>Dinamica_Pess!AI83</f>
        <v>0</v>
      </c>
      <c r="AJ34" s="67">
        <f>Dinamica_Pess!AJ83</f>
        <v>0</v>
      </c>
      <c r="AK34" s="67">
        <f>Dinamica_Pess!AK83</f>
        <v>0</v>
      </c>
    </row>
    <row r="35" spans="1:37" x14ac:dyDescent="0.2">
      <c r="A35" s="49" t="s">
        <v>576</v>
      </c>
      <c r="B35" s="48" t="s">
        <v>502</v>
      </c>
      <c r="C35" s="48" t="s">
        <v>474</v>
      </c>
      <c r="D35" s="51">
        <f>IFERROR(Dinamica!D101/Modello!F5,0)</f>
        <v>0</v>
      </c>
      <c r="E35" s="51">
        <f>IFERROR(Dinamica!E101/Modello!F6,0)</f>
        <v>0</v>
      </c>
      <c r="F35" s="51">
        <f>IFERROR(Dinamica!F101/Modello!F7,0)</f>
        <v>0</v>
      </c>
      <c r="G35" s="51">
        <f>IFERROR(Dinamica!G101/Modello!F8,0)</f>
        <v>0</v>
      </c>
      <c r="H35" s="51">
        <f>IFERROR(Dinamica!H101/Modello!F9,0)</f>
        <v>0</v>
      </c>
      <c r="I35" s="51">
        <f>IFERROR(Dinamica!I101/Modello!F10,0)</f>
        <v>0</v>
      </c>
      <c r="J35" s="51">
        <f>IFERROR(Dinamica!J101/Modello!F11,0)</f>
        <v>0</v>
      </c>
      <c r="K35" s="51">
        <f>IFERROR(Dinamica!K101/Modello!F12,0)</f>
        <v>0</v>
      </c>
      <c r="L35" s="51">
        <f>IFERROR(Dinamica!L101/Modello!F13,0)</f>
        <v>0</v>
      </c>
      <c r="M35" s="51">
        <f>IFERROR(Dinamica!M101/Modello!F14,0)</f>
        <v>0</v>
      </c>
      <c r="N35" s="51">
        <f>IFERROR(Dinamica!N101/Modello!F15,0)</f>
        <v>0</v>
      </c>
      <c r="O35" s="51">
        <f>IFERROR(Dinamica!O101/Modello!F16,0)</f>
        <v>0</v>
      </c>
      <c r="P35" s="51">
        <f>IFERROR(Dinamica!P101/Modello!F17,0)</f>
        <v>0</v>
      </c>
      <c r="Q35" s="51">
        <f>IFERROR(Dinamica!Q101/Modello!F18,0)</f>
        <v>0</v>
      </c>
      <c r="R35" s="51">
        <f>IFERROR(Dinamica!R101/Modello!F19,0)</f>
        <v>0</v>
      </c>
      <c r="S35" s="51">
        <f>IFERROR(Dinamica!S101/Modello!F20,0)</f>
        <v>0</v>
      </c>
      <c r="T35" s="51">
        <f>IFERROR(Dinamica!T101/Modello!F21,0)</f>
        <v>0</v>
      </c>
      <c r="U35" s="51">
        <f>IFERROR(Dinamica!U101/Modello!F22,0)</f>
        <v>0</v>
      </c>
      <c r="V35" s="51">
        <f>IFERROR(Dinamica!V101/Modello!F23,0)</f>
        <v>0</v>
      </c>
      <c r="W35" s="51">
        <f>IFERROR(Dinamica!W101/Modello!F24,0)</f>
        <v>0</v>
      </c>
      <c r="X35" s="51">
        <f>IFERROR(Dinamica!X101/Modello!F25,0)</f>
        <v>0</v>
      </c>
      <c r="Y35" s="51">
        <f>IFERROR(Dinamica!Y101/Modello!F26,0)</f>
        <v>0</v>
      </c>
      <c r="Z35" s="51">
        <f>IFERROR(Dinamica!Z101/Modello!F27,0)</f>
        <v>0</v>
      </c>
      <c r="AA35" s="51">
        <f>IFERROR(Dinamica!AA101/Modello!F28,0)</f>
        <v>0</v>
      </c>
      <c r="AB35" s="51">
        <f>IFERROR(Dinamica!AB101/Modello!F29,0)</f>
        <v>0</v>
      </c>
      <c r="AC35" s="51">
        <f>IFERROR(Dinamica!AC101/Modello!F30,0)</f>
        <v>0</v>
      </c>
      <c r="AD35" s="51">
        <f>IFERROR(Dinamica!AD101/Modello!F31,0)</f>
        <v>0</v>
      </c>
      <c r="AE35" s="51">
        <f>IFERROR(Dinamica!AE101/Modello!F32,0)</f>
        <v>0</v>
      </c>
      <c r="AF35" s="51">
        <f>IFERROR(Dinamica!AF101/Modello!F33,0)</f>
        <v>0</v>
      </c>
      <c r="AG35" s="51">
        <f>IFERROR(Dinamica!AG101/Modello!F34,0)</f>
        <v>0</v>
      </c>
      <c r="AH35" s="51">
        <f>IFERROR(Dinamica!AH101/Modello!F35,0)</f>
        <v>0</v>
      </c>
      <c r="AI35" s="51">
        <f>IFERROR(Dinamica!AI101/Modello!F36,0)</f>
        <v>0</v>
      </c>
      <c r="AJ35" s="51">
        <f>IFERROR(Dinamica!AJ101/Modello!F37,0)</f>
        <v>0</v>
      </c>
      <c r="AK35" s="51">
        <f>IFERROR(Dinamica!AK101/Modello!F38,0)</f>
        <v>0</v>
      </c>
    </row>
    <row r="36" spans="1:37" ht="30" customHeight="1" x14ac:dyDescent="0.2">
      <c r="A36" s="49" t="s">
        <v>576</v>
      </c>
      <c r="B36" s="48" t="s">
        <v>502</v>
      </c>
      <c r="C36" s="48" t="s">
        <v>475</v>
      </c>
      <c r="D36" s="51">
        <f>IFERROR(Dinamica_Pess!D83/Modello_Pess!F5,0)</f>
        <v>0</v>
      </c>
      <c r="E36" s="51">
        <f>IFERROR(Dinamica_Pess!E83/Modello_Pess!F6,0)</f>
        <v>0</v>
      </c>
      <c r="F36" s="51">
        <f>IFERROR(Dinamica_Pess!F83/Modello_Pess!F7,0)</f>
        <v>0</v>
      </c>
      <c r="G36" s="51">
        <f>IFERROR(Dinamica_Pess!G83/Modello_Pess!F8,0)</f>
        <v>0</v>
      </c>
      <c r="H36" s="51">
        <f>IFERROR(Dinamica_Pess!H83/Modello_Pess!F9,0)</f>
        <v>0</v>
      </c>
      <c r="I36" s="51">
        <f>IFERROR(Dinamica_Pess!I83/Modello_Pess!F10,0)</f>
        <v>0</v>
      </c>
      <c r="J36" s="51">
        <f>IFERROR(Dinamica_Pess!J83/Modello_Pess!F11,0)</f>
        <v>0</v>
      </c>
      <c r="K36" s="51">
        <f>IFERROR(Dinamica_Pess!K83/Modello_Pess!F12,0)</f>
        <v>0</v>
      </c>
      <c r="L36" s="51">
        <f>IFERROR(Dinamica_Pess!L83/Modello_Pess!F13,0)</f>
        <v>0</v>
      </c>
      <c r="M36" s="51">
        <f>IFERROR(Dinamica_Pess!M83/Modello_Pess!F14,0)</f>
        <v>0</v>
      </c>
      <c r="N36" s="51">
        <f>IFERROR(Dinamica_Pess!N83/Modello_Pess!F15,0)</f>
        <v>0</v>
      </c>
      <c r="O36" s="51">
        <f>IFERROR(Dinamica_Pess!O83/Modello_Pess!F16,0)</f>
        <v>0</v>
      </c>
      <c r="P36" s="51">
        <f>IFERROR(Dinamica_Pess!P83/Modello_Pess!F17,0)</f>
        <v>0</v>
      </c>
      <c r="Q36" s="51">
        <f>IFERROR(Dinamica_Pess!Q83/Modello_Pess!F18,0)</f>
        <v>0</v>
      </c>
      <c r="R36" s="51">
        <f>IFERROR(Dinamica_Pess!R83/Modello_Pess!F19,0)</f>
        <v>0</v>
      </c>
      <c r="S36" s="51">
        <f>IFERROR(Dinamica_Pess!S83/Modello_Pess!F20,0)</f>
        <v>0</v>
      </c>
      <c r="T36" s="51">
        <f>IFERROR(Dinamica_Pess!T83/Modello_Pess!F21,0)</f>
        <v>0</v>
      </c>
      <c r="U36" s="51">
        <f>IFERROR(Dinamica_Pess!U83/Modello_Pess!F22,0)</f>
        <v>0</v>
      </c>
      <c r="V36" s="51">
        <f>IFERROR(Dinamica_Pess!V83/Modello_Pess!F23,0)</f>
        <v>0</v>
      </c>
      <c r="W36" s="51">
        <f>IFERROR(Dinamica_Pess!W83/Modello_Pess!F24,0)</f>
        <v>0</v>
      </c>
      <c r="X36" s="51">
        <f>IFERROR(Dinamica_Pess!X83/Modello_Pess!F25,0)</f>
        <v>0</v>
      </c>
      <c r="Y36" s="51">
        <f>IFERROR(Dinamica_Pess!Y83/Modello_Pess!F26,0)</f>
        <v>0</v>
      </c>
      <c r="Z36" s="51">
        <f>IFERROR(Dinamica_Pess!Z83/Modello_Pess!F27,0)</f>
        <v>0</v>
      </c>
      <c r="AA36" s="51">
        <f>IFERROR(Dinamica_Pess!AA83/Modello_Pess!F28,0)</f>
        <v>0</v>
      </c>
      <c r="AB36" s="51">
        <f>IFERROR(Dinamica_Pess!AB83/Modello_Pess!F29,0)</f>
        <v>0</v>
      </c>
      <c r="AC36" s="51">
        <f>IFERROR(Dinamica_Pess!AC83/Modello_Pess!F30,0)</f>
        <v>0</v>
      </c>
      <c r="AD36" s="51">
        <f>IFERROR(Dinamica_Pess!AD83/Modello_Pess!F31,0)</f>
        <v>0</v>
      </c>
      <c r="AE36" s="51">
        <f>IFERROR(Dinamica_Pess!AE83/Modello_Pess!F32,0)</f>
        <v>0</v>
      </c>
      <c r="AF36" s="51">
        <f>IFERROR(Dinamica_Pess!AF83/Modello_Pess!F33,0)</f>
        <v>0</v>
      </c>
      <c r="AG36" s="51">
        <f>IFERROR(Dinamica_Pess!AG83/Modello_Pess!F34,0)</f>
        <v>0</v>
      </c>
      <c r="AH36" s="51">
        <f>IFERROR(Dinamica_Pess!AH83/Modello_Pess!F35,0)</f>
        <v>0</v>
      </c>
      <c r="AI36" s="51">
        <f>IFERROR(Dinamica_Pess!AI83/Modello_Pess!F36,0)</f>
        <v>0</v>
      </c>
      <c r="AJ36" s="51">
        <f>IFERROR(Dinamica_Pess!AJ83/Modello_Pess!F37,0)</f>
        <v>0</v>
      </c>
      <c r="AK36" s="51">
        <f>IFERROR(Dinamica_Pess!AK83/Modello_Pess!F38,0)</f>
        <v>0</v>
      </c>
    </row>
    <row r="37" spans="1:37" ht="18" customHeight="1" x14ac:dyDescent="0.2">
      <c r="A37" s="49" t="s">
        <v>577</v>
      </c>
      <c r="B37" s="48" t="s">
        <v>523</v>
      </c>
      <c r="C37" s="48" t="s">
        <v>474</v>
      </c>
      <c r="D37" s="67">
        <f>Dinamica!D102</f>
        <v>0</v>
      </c>
      <c r="E37" s="67">
        <f>Dinamica!E102</f>
        <v>0</v>
      </c>
      <c r="F37" s="67">
        <f>Dinamica!F102</f>
        <v>0</v>
      </c>
      <c r="G37" s="67">
        <f>Dinamica!G102</f>
        <v>0</v>
      </c>
      <c r="H37" s="67">
        <f>Dinamica!H102</f>
        <v>0</v>
      </c>
      <c r="I37" s="67">
        <f>Dinamica!I102</f>
        <v>0</v>
      </c>
      <c r="J37" s="67">
        <f>Dinamica!J102</f>
        <v>0</v>
      </c>
      <c r="K37" s="67">
        <f>Dinamica!K102</f>
        <v>0</v>
      </c>
      <c r="L37" s="67">
        <f>Dinamica!L102</f>
        <v>0</v>
      </c>
      <c r="M37" s="67">
        <f>Dinamica!M102</f>
        <v>0</v>
      </c>
      <c r="N37" s="67">
        <f>Dinamica!N102</f>
        <v>0</v>
      </c>
      <c r="O37" s="67">
        <f>Dinamica!O102</f>
        <v>0</v>
      </c>
      <c r="P37" s="67">
        <f>Dinamica!P102</f>
        <v>0</v>
      </c>
      <c r="Q37" s="67">
        <f>Dinamica!Q102</f>
        <v>0</v>
      </c>
      <c r="R37" s="67">
        <f>Dinamica!R102</f>
        <v>0</v>
      </c>
      <c r="S37" s="67">
        <f>Dinamica!S102</f>
        <v>0</v>
      </c>
      <c r="T37" s="67">
        <f>Dinamica!T102</f>
        <v>0</v>
      </c>
      <c r="U37" s="67">
        <f>Dinamica!U102</f>
        <v>0</v>
      </c>
      <c r="V37" s="67">
        <f>Dinamica!V102</f>
        <v>0</v>
      </c>
      <c r="W37" s="67">
        <f>Dinamica!W102</f>
        <v>0</v>
      </c>
      <c r="X37" s="67">
        <f>Dinamica!X102</f>
        <v>0</v>
      </c>
      <c r="Y37" s="67">
        <f>Dinamica!Y102</f>
        <v>0</v>
      </c>
      <c r="Z37" s="67">
        <f>Dinamica!Z102</f>
        <v>0</v>
      </c>
      <c r="AA37" s="67">
        <f>Dinamica!AA102</f>
        <v>0</v>
      </c>
      <c r="AB37" s="67">
        <f>Dinamica!AB102</f>
        <v>0</v>
      </c>
      <c r="AC37" s="67">
        <f>Dinamica!AC102</f>
        <v>0</v>
      </c>
      <c r="AD37" s="67">
        <f>Dinamica!AD102</f>
        <v>0</v>
      </c>
      <c r="AE37" s="67">
        <f>Dinamica!AE102</f>
        <v>0</v>
      </c>
      <c r="AF37" s="67">
        <f>Dinamica!AF102</f>
        <v>0</v>
      </c>
      <c r="AG37" s="67">
        <f>Dinamica!AG102</f>
        <v>0</v>
      </c>
      <c r="AH37" s="67">
        <f>Dinamica!AH102</f>
        <v>0</v>
      </c>
      <c r="AI37" s="67">
        <f>Dinamica!AI102</f>
        <v>0</v>
      </c>
      <c r="AJ37" s="67">
        <f>Dinamica!AJ102</f>
        <v>0</v>
      </c>
      <c r="AK37" s="67">
        <f>Dinamica!AK102</f>
        <v>0</v>
      </c>
    </row>
    <row r="38" spans="1:37" ht="15" customHeight="1" x14ac:dyDescent="0.2">
      <c r="A38" s="49" t="s">
        <v>577</v>
      </c>
      <c r="B38" s="48" t="s">
        <v>523</v>
      </c>
      <c r="C38" s="48" t="s">
        <v>475</v>
      </c>
      <c r="D38" s="67">
        <f>Dinamica_Pess!D84</f>
        <v>0</v>
      </c>
      <c r="E38" s="67">
        <f>Dinamica_Pess!E84</f>
        <v>0</v>
      </c>
      <c r="F38" s="67">
        <f>Dinamica_Pess!F84</f>
        <v>0</v>
      </c>
      <c r="G38" s="67">
        <f>Dinamica_Pess!G84</f>
        <v>0</v>
      </c>
      <c r="H38" s="67">
        <f>Dinamica_Pess!H84</f>
        <v>0</v>
      </c>
      <c r="I38" s="67">
        <f>Dinamica_Pess!I84</f>
        <v>0</v>
      </c>
      <c r="J38" s="67">
        <f>Dinamica_Pess!J84</f>
        <v>0</v>
      </c>
      <c r="K38" s="67">
        <f>Dinamica_Pess!K84</f>
        <v>0</v>
      </c>
      <c r="L38" s="67">
        <f>Dinamica_Pess!L84</f>
        <v>0</v>
      </c>
      <c r="M38" s="67">
        <f>Dinamica_Pess!M84</f>
        <v>0</v>
      </c>
      <c r="N38" s="67">
        <f>Dinamica_Pess!N84</f>
        <v>0</v>
      </c>
      <c r="O38" s="67">
        <f>Dinamica_Pess!O84</f>
        <v>0</v>
      </c>
      <c r="P38" s="67">
        <f>Dinamica_Pess!P84</f>
        <v>0</v>
      </c>
      <c r="Q38" s="67">
        <f>Dinamica_Pess!Q84</f>
        <v>0</v>
      </c>
      <c r="R38" s="67">
        <f>Dinamica_Pess!R84</f>
        <v>0</v>
      </c>
      <c r="S38" s="67">
        <f>Dinamica_Pess!S84</f>
        <v>0</v>
      </c>
      <c r="T38" s="67">
        <f>Dinamica_Pess!T84</f>
        <v>0</v>
      </c>
      <c r="U38" s="67">
        <f>Dinamica_Pess!U84</f>
        <v>0</v>
      </c>
      <c r="V38" s="67">
        <f>Dinamica_Pess!V84</f>
        <v>0</v>
      </c>
      <c r="W38" s="67">
        <f>Dinamica_Pess!W84</f>
        <v>0</v>
      </c>
      <c r="X38" s="67">
        <f>Dinamica_Pess!X84</f>
        <v>0</v>
      </c>
      <c r="Y38" s="67">
        <f>Dinamica_Pess!Y84</f>
        <v>0</v>
      </c>
      <c r="Z38" s="67">
        <f>Dinamica_Pess!Z84</f>
        <v>0</v>
      </c>
      <c r="AA38" s="67">
        <f>Dinamica_Pess!AA84</f>
        <v>0</v>
      </c>
      <c r="AB38" s="67">
        <f>Dinamica_Pess!AB84</f>
        <v>0</v>
      </c>
      <c r="AC38" s="67">
        <f>Dinamica_Pess!AC84</f>
        <v>0</v>
      </c>
      <c r="AD38" s="67">
        <f>Dinamica_Pess!AD84</f>
        <v>0</v>
      </c>
      <c r="AE38" s="67">
        <f>Dinamica_Pess!AE84</f>
        <v>0</v>
      </c>
      <c r="AF38" s="67">
        <f>Dinamica_Pess!AF84</f>
        <v>0</v>
      </c>
      <c r="AG38" s="67">
        <f>Dinamica_Pess!AG84</f>
        <v>0</v>
      </c>
      <c r="AH38" s="67">
        <f>Dinamica_Pess!AH84</f>
        <v>0</v>
      </c>
      <c r="AI38" s="67">
        <f>Dinamica_Pess!AI84</f>
        <v>0</v>
      </c>
      <c r="AJ38" s="67">
        <f>Dinamica_Pess!AJ84</f>
        <v>0</v>
      </c>
      <c r="AK38" s="67">
        <f>Dinamica_Pess!AK84</f>
        <v>0</v>
      </c>
    </row>
    <row r="39" spans="1:37" ht="15" customHeight="1" x14ac:dyDescent="0.2">
      <c r="A39" s="49" t="s">
        <v>578</v>
      </c>
      <c r="B39" s="48" t="s">
        <v>523</v>
      </c>
      <c r="C39" s="48" t="s">
        <v>474</v>
      </c>
      <c r="D39" s="67">
        <f>Dinamica!D104</f>
        <v>0</v>
      </c>
      <c r="E39" s="67">
        <f>Dinamica!E104</f>
        <v>0</v>
      </c>
      <c r="F39" s="67">
        <f>Dinamica!F104</f>
        <v>0</v>
      </c>
      <c r="G39" s="67">
        <f>Dinamica!G104</f>
        <v>0</v>
      </c>
      <c r="H39" s="67">
        <f>Dinamica!H104</f>
        <v>0</v>
      </c>
      <c r="I39" s="67">
        <f>Dinamica!I104</f>
        <v>0</v>
      </c>
      <c r="J39" s="67">
        <f>Dinamica!J104</f>
        <v>0</v>
      </c>
      <c r="K39" s="67">
        <f>Dinamica!K104</f>
        <v>0</v>
      </c>
      <c r="L39" s="67">
        <f>Dinamica!L104</f>
        <v>0</v>
      </c>
      <c r="M39" s="67">
        <f>Dinamica!M104</f>
        <v>0</v>
      </c>
      <c r="N39" s="67">
        <f>Dinamica!N104</f>
        <v>0</v>
      </c>
      <c r="O39" s="67">
        <f>Dinamica!O104</f>
        <v>0</v>
      </c>
      <c r="P39" s="67">
        <f>Dinamica!P104</f>
        <v>0</v>
      </c>
      <c r="Q39" s="67">
        <f>Dinamica!Q104</f>
        <v>0</v>
      </c>
      <c r="R39" s="67">
        <f>Dinamica!R104</f>
        <v>0</v>
      </c>
      <c r="S39" s="67">
        <f>Dinamica!S104</f>
        <v>0</v>
      </c>
      <c r="T39" s="67">
        <f>Dinamica!T104</f>
        <v>0</v>
      </c>
      <c r="U39" s="67">
        <f>Dinamica!U104</f>
        <v>0</v>
      </c>
      <c r="V39" s="67">
        <f>Dinamica!V104</f>
        <v>0</v>
      </c>
      <c r="W39" s="67">
        <f>Dinamica!W104</f>
        <v>0</v>
      </c>
      <c r="X39" s="67">
        <f>Dinamica!X104</f>
        <v>0</v>
      </c>
      <c r="Y39" s="67">
        <f>Dinamica!Y104</f>
        <v>0</v>
      </c>
      <c r="Z39" s="67">
        <f>Dinamica!Z104</f>
        <v>0</v>
      </c>
      <c r="AA39" s="67">
        <f>Dinamica!AA104</f>
        <v>0</v>
      </c>
      <c r="AB39" s="67">
        <f>Dinamica!AB104</f>
        <v>0</v>
      </c>
      <c r="AC39" s="67">
        <f>Dinamica!AC104</f>
        <v>0</v>
      </c>
      <c r="AD39" s="67">
        <f>Dinamica!AD104</f>
        <v>0</v>
      </c>
      <c r="AE39" s="67">
        <f>Dinamica!AE104</f>
        <v>0</v>
      </c>
      <c r="AF39" s="67">
        <f>Dinamica!AF104</f>
        <v>0</v>
      </c>
      <c r="AG39" s="67">
        <f>Dinamica!AG104</f>
        <v>0</v>
      </c>
      <c r="AH39" s="67">
        <f>Dinamica!AH104</f>
        <v>0</v>
      </c>
      <c r="AI39" s="67">
        <f>Dinamica!AI104</f>
        <v>0</v>
      </c>
      <c r="AJ39" s="67">
        <f>Dinamica!AJ104</f>
        <v>0</v>
      </c>
      <c r="AK39" s="67">
        <f>Dinamica!AK104</f>
        <v>0</v>
      </c>
    </row>
    <row r="40" spans="1:37" ht="15" customHeight="1" x14ac:dyDescent="0.2">
      <c r="A40" s="49" t="s">
        <v>578</v>
      </c>
      <c r="B40" s="48" t="s">
        <v>523</v>
      </c>
      <c r="C40" s="48" t="s">
        <v>475</v>
      </c>
      <c r="D40" s="67">
        <f>Dinamica_Pess!D86</f>
        <v>0</v>
      </c>
      <c r="E40" s="67">
        <f>Dinamica_Pess!E86</f>
        <v>0</v>
      </c>
      <c r="F40" s="67">
        <f>Dinamica_Pess!F86</f>
        <v>0</v>
      </c>
      <c r="G40" s="67">
        <f>Dinamica_Pess!G86</f>
        <v>0</v>
      </c>
      <c r="H40" s="67">
        <f>Dinamica_Pess!H86</f>
        <v>0</v>
      </c>
      <c r="I40" s="67">
        <f>Dinamica_Pess!I86</f>
        <v>0</v>
      </c>
      <c r="J40" s="67">
        <f>Dinamica_Pess!J86</f>
        <v>0</v>
      </c>
      <c r="K40" s="67">
        <f>Dinamica_Pess!K86</f>
        <v>0</v>
      </c>
      <c r="L40" s="67">
        <f>Dinamica_Pess!L86</f>
        <v>0</v>
      </c>
      <c r="M40" s="67">
        <f>Dinamica_Pess!M86</f>
        <v>0</v>
      </c>
      <c r="N40" s="67">
        <f>Dinamica_Pess!N86</f>
        <v>0</v>
      </c>
      <c r="O40" s="67">
        <f>Dinamica_Pess!O86</f>
        <v>0</v>
      </c>
      <c r="P40" s="67">
        <f>Dinamica_Pess!P86</f>
        <v>0</v>
      </c>
      <c r="Q40" s="67">
        <f>Dinamica_Pess!Q86</f>
        <v>0</v>
      </c>
      <c r="R40" s="67">
        <f>Dinamica_Pess!R86</f>
        <v>0</v>
      </c>
      <c r="S40" s="67">
        <f>Dinamica_Pess!S86</f>
        <v>0</v>
      </c>
      <c r="T40" s="67">
        <f>Dinamica_Pess!T86</f>
        <v>0</v>
      </c>
      <c r="U40" s="67">
        <f>Dinamica_Pess!U86</f>
        <v>0</v>
      </c>
      <c r="V40" s="67">
        <f>Dinamica_Pess!V86</f>
        <v>0</v>
      </c>
      <c r="W40" s="67">
        <f>Dinamica_Pess!W86</f>
        <v>0</v>
      </c>
      <c r="X40" s="67">
        <f>Dinamica_Pess!X86</f>
        <v>0</v>
      </c>
      <c r="Y40" s="67">
        <f>Dinamica_Pess!Y86</f>
        <v>0</v>
      </c>
      <c r="Z40" s="67">
        <f>Dinamica_Pess!Z86</f>
        <v>0</v>
      </c>
      <c r="AA40" s="67">
        <f>Dinamica_Pess!AA86</f>
        <v>0</v>
      </c>
      <c r="AB40" s="67">
        <f>Dinamica_Pess!AB86</f>
        <v>0</v>
      </c>
      <c r="AC40" s="67">
        <f>Dinamica_Pess!AC86</f>
        <v>0</v>
      </c>
      <c r="AD40" s="67">
        <f>Dinamica_Pess!AD86</f>
        <v>0</v>
      </c>
      <c r="AE40" s="67">
        <f>Dinamica_Pess!AE86</f>
        <v>0</v>
      </c>
      <c r="AF40" s="67">
        <f>Dinamica_Pess!AF86</f>
        <v>0</v>
      </c>
      <c r="AG40" s="67">
        <f>Dinamica_Pess!AG86</f>
        <v>0</v>
      </c>
      <c r="AH40" s="67">
        <f>Dinamica_Pess!AH86</f>
        <v>0</v>
      </c>
      <c r="AI40" s="67">
        <f>Dinamica_Pess!AI86</f>
        <v>0</v>
      </c>
      <c r="AJ40" s="67">
        <f>Dinamica_Pess!AJ86</f>
        <v>0</v>
      </c>
      <c r="AK40" s="67">
        <f>Dinamica_Pess!AK86</f>
        <v>0</v>
      </c>
    </row>
    <row r="41" spans="1:37" ht="15" customHeight="1" x14ac:dyDescent="0.2">
      <c r="A41" s="49" t="s">
        <v>579</v>
      </c>
      <c r="B41" s="48" t="s">
        <v>523</v>
      </c>
      <c r="C41" s="48" t="s">
        <v>474</v>
      </c>
      <c r="D41" s="67">
        <f>Dinamica!D103</f>
        <v>0</v>
      </c>
      <c r="E41" s="67">
        <f>Dinamica!E103</f>
        <v>0</v>
      </c>
      <c r="F41" s="67">
        <f>Dinamica!F103</f>
        <v>0</v>
      </c>
      <c r="G41" s="67">
        <f>Dinamica!G103</f>
        <v>0</v>
      </c>
      <c r="H41" s="67">
        <f>Dinamica!H103</f>
        <v>0</v>
      </c>
      <c r="I41" s="67">
        <f>Dinamica!I103</f>
        <v>0</v>
      </c>
      <c r="J41" s="67">
        <f>Dinamica!J103</f>
        <v>0</v>
      </c>
      <c r="K41" s="67">
        <f>Dinamica!K103</f>
        <v>0</v>
      </c>
      <c r="L41" s="67">
        <f>Dinamica!L103</f>
        <v>0</v>
      </c>
      <c r="M41" s="67">
        <f>Dinamica!M103</f>
        <v>0</v>
      </c>
      <c r="N41" s="67">
        <f>Dinamica!N103</f>
        <v>0</v>
      </c>
      <c r="O41" s="67">
        <f>Dinamica!O103</f>
        <v>0</v>
      </c>
      <c r="P41" s="67">
        <f>Dinamica!P103</f>
        <v>0</v>
      </c>
      <c r="Q41" s="67">
        <f>Dinamica!Q103</f>
        <v>0</v>
      </c>
      <c r="R41" s="67">
        <f>Dinamica!R103</f>
        <v>0</v>
      </c>
      <c r="S41" s="67">
        <f>Dinamica!S103</f>
        <v>0</v>
      </c>
      <c r="T41" s="67">
        <f>Dinamica!T103</f>
        <v>0</v>
      </c>
      <c r="U41" s="67">
        <f>Dinamica!U103</f>
        <v>0</v>
      </c>
      <c r="V41" s="67">
        <f>Dinamica!V103</f>
        <v>0</v>
      </c>
      <c r="W41" s="67">
        <f>Dinamica!W103</f>
        <v>0</v>
      </c>
      <c r="X41" s="67">
        <f>Dinamica!X103</f>
        <v>0</v>
      </c>
      <c r="Y41" s="67">
        <f>Dinamica!Y103</f>
        <v>0</v>
      </c>
      <c r="Z41" s="67">
        <f>Dinamica!Z103</f>
        <v>0</v>
      </c>
      <c r="AA41" s="67">
        <f>Dinamica!AA103</f>
        <v>0</v>
      </c>
      <c r="AB41" s="67">
        <f>Dinamica!AB103</f>
        <v>0</v>
      </c>
      <c r="AC41" s="67">
        <f>Dinamica!AC103</f>
        <v>0</v>
      </c>
      <c r="AD41" s="67">
        <f>Dinamica!AD103</f>
        <v>0</v>
      </c>
      <c r="AE41" s="67">
        <f>Dinamica!AE103</f>
        <v>0</v>
      </c>
      <c r="AF41" s="67">
        <f>Dinamica!AF103</f>
        <v>0</v>
      </c>
      <c r="AG41" s="67">
        <f>Dinamica!AG103</f>
        <v>0</v>
      </c>
      <c r="AH41" s="67">
        <f>Dinamica!AH103</f>
        <v>0</v>
      </c>
      <c r="AI41" s="67">
        <f>Dinamica!AI103</f>
        <v>0</v>
      </c>
      <c r="AJ41" s="67">
        <f>Dinamica!AJ103</f>
        <v>0</v>
      </c>
      <c r="AK41" s="67">
        <f>Dinamica!AK103</f>
        <v>0</v>
      </c>
    </row>
    <row r="42" spans="1:37" ht="15" customHeight="1" x14ac:dyDescent="0.2">
      <c r="A42" s="49" t="s">
        <v>579</v>
      </c>
      <c r="B42" s="48" t="s">
        <v>523</v>
      </c>
      <c r="C42" s="48" t="s">
        <v>475</v>
      </c>
      <c r="D42" s="67">
        <f>Dinamica_Pess!D85</f>
        <v>0</v>
      </c>
      <c r="E42" s="67">
        <f>Dinamica_Pess!E85</f>
        <v>0</v>
      </c>
      <c r="F42" s="67">
        <f>Dinamica_Pess!F85</f>
        <v>0</v>
      </c>
      <c r="G42" s="67">
        <f>Dinamica_Pess!G85</f>
        <v>0</v>
      </c>
      <c r="H42" s="67">
        <f>Dinamica_Pess!H85</f>
        <v>0</v>
      </c>
      <c r="I42" s="67">
        <f>Dinamica_Pess!I85</f>
        <v>0</v>
      </c>
      <c r="J42" s="67">
        <f>Dinamica_Pess!J85</f>
        <v>0</v>
      </c>
      <c r="K42" s="67">
        <f>Dinamica_Pess!K85</f>
        <v>0</v>
      </c>
      <c r="L42" s="67">
        <f>Dinamica_Pess!L85</f>
        <v>0</v>
      </c>
      <c r="M42" s="67">
        <f>Dinamica_Pess!M85</f>
        <v>0</v>
      </c>
      <c r="N42" s="67">
        <f>Dinamica_Pess!N85</f>
        <v>0</v>
      </c>
      <c r="O42" s="67">
        <f>Dinamica_Pess!O85</f>
        <v>0</v>
      </c>
      <c r="P42" s="67">
        <f>Dinamica_Pess!P85</f>
        <v>0</v>
      </c>
      <c r="Q42" s="67">
        <f>Dinamica_Pess!Q85</f>
        <v>0</v>
      </c>
      <c r="R42" s="67">
        <f>Dinamica_Pess!R85</f>
        <v>0</v>
      </c>
      <c r="S42" s="67">
        <f>Dinamica_Pess!S85</f>
        <v>0</v>
      </c>
      <c r="T42" s="67">
        <f>Dinamica_Pess!T85</f>
        <v>0</v>
      </c>
      <c r="U42" s="67">
        <f>Dinamica_Pess!U85</f>
        <v>0</v>
      </c>
      <c r="V42" s="67">
        <f>Dinamica_Pess!V85</f>
        <v>0</v>
      </c>
      <c r="W42" s="67">
        <f>Dinamica_Pess!W85</f>
        <v>0</v>
      </c>
      <c r="X42" s="67">
        <f>Dinamica_Pess!X85</f>
        <v>0</v>
      </c>
      <c r="Y42" s="67">
        <f>Dinamica_Pess!Y85</f>
        <v>0</v>
      </c>
      <c r="Z42" s="67">
        <f>Dinamica_Pess!Z85</f>
        <v>0</v>
      </c>
      <c r="AA42" s="67">
        <f>Dinamica_Pess!AA85</f>
        <v>0</v>
      </c>
      <c r="AB42" s="67">
        <f>Dinamica_Pess!AB85</f>
        <v>0</v>
      </c>
      <c r="AC42" s="67">
        <f>Dinamica_Pess!AC85</f>
        <v>0</v>
      </c>
      <c r="AD42" s="67">
        <f>Dinamica_Pess!AD85</f>
        <v>0</v>
      </c>
      <c r="AE42" s="67">
        <f>Dinamica_Pess!AE85</f>
        <v>0</v>
      </c>
      <c r="AF42" s="67">
        <f>Dinamica_Pess!AF85</f>
        <v>0</v>
      </c>
      <c r="AG42" s="67">
        <f>Dinamica_Pess!AG85</f>
        <v>0</v>
      </c>
      <c r="AH42" s="67">
        <f>Dinamica_Pess!AH85</f>
        <v>0</v>
      </c>
      <c r="AI42" s="67">
        <f>Dinamica_Pess!AI85</f>
        <v>0</v>
      </c>
      <c r="AJ42" s="67">
        <f>Dinamica_Pess!AJ85</f>
        <v>0</v>
      </c>
      <c r="AK42" s="67">
        <f>Dinamica_Pess!AK85</f>
        <v>0</v>
      </c>
    </row>
    <row r="43" spans="1:37" ht="30" customHeight="1" x14ac:dyDescent="0.2">
      <c r="A43" s="49" t="s">
        <v>580</v>
      </c>
      <c r="B43" s="48" t="s">
        <v>523</v>
      </c>
      <c r="C43" s="48" t="s">
        <v>474</v>
      </c>
      <c r="D43" s="67">
        <f>Dinamica!D105</f>
        <v>0</v>
      </c>
      <c r="E43" s="67">
        <f>Dinamica!E105</f>
        <v>0</v>
      </c>
      <c r="F43" s="67">
        <f>Dinamica!F105</f>
        <v>0</v>
      </c>
      <c r="G43" s="67">
        <f>Dinamica!G105</f>
        <v>0</v>
      </c>
      <c r="H43" s="67">
        <f>Dinamica!H105</f>
        <v>0</v>
      </c>
      <c r="I43" s="67">
        <f>Dinamica!I105</f>
        <v>0</v>
      </c>
      <c r="J43" s="67">
        <f>Dinamica!J105</f>
        <v>0</v>
      </c>
      <c r="K43" s="67">
        <f>Dinamica!K105</f>
        <v>0</v>
      </c>
      <c r="L43" s="67">
        <f>Dinamica!L105</f>
        <v>0</v>
      </c>
      <c r="M43" s="67">
        <f>Dinamica!M105</f>
        <v>0</v>
      </c>
      <c r="N43" s="67">
        <f>Dinamica!N105</f>
        <v>0</v>
      </c>
      <c r="O43" s="67">
        <f>Dinamica!O105</f>
        <v>0</v>
      </c>
      <c r="P43" s="67">
        <f>Dinamica!P105</f>
        <v>0</v>
      </c>
      <c r="Q43" s="67">
        <f>Dinamica!Q105</f>
        <v>0</v>
      </c>
      <c r="R43" s="67">
        <f>Dinamica!R105</f>
        <v>0</v>
      </c>
      <c r="S43" s="67">
        <f>Dinamica!S105</f>
        <v>0</v>
      </c>
      <c r="T43" s="67">
        <f>Dinamica!T105</f>
        <v>0</v>
      </c>
      <c r="U43" s="67">
        <f>Dinamica!U105</f>
        <v>0</v>
      </c>
      <c r="V43" s="67">
        <f>Dinamica!V105</f>
        <v>0</v>
      </c>
      <c r="W43" s="67">
        <f>Dinamica!W105</f>
        <v>0</v>
      </c>
      <c r="X43" s="67">
        <f>Dinamica!X105</f>
        <v>0</v>
      </c>
      <c r="Y43" s="67">
        <f>Dinamica!Y105</f>
        <v>0</v>
      </c>
      <c r="Z43" s="67">
        <f>Dinamica!Z105</f>
        <v>0</v>
      </c>
      <c r="AA43" s="67">
        <f>Dinamica!AA105</f>
        <v>0</v>
      </c>
      <c r="AB43" s="67">
        <f>Dinamica!AB105</f>
        <v>0</v>
      </c>
      <c r="AC43" s="67">
        <f>Dinamica!AC105</f>
        <v>0</v>
      </c>
      <c r="AD43" s="67">
        <f>Dinamica!AD105</f>
        <v>0</v>
      </c>
      <c r="AE43" s="67">
        <f>Dinamica!AE105</f>
        <v>0</v>
      </c>
      <c r="AF43" s="67">
        <f>Dinamica!AF105</f>
        <v>0</v>
      </c>
      <c r="AG43" s="67">
        <f>Dinamica!AG105</f>
        <v>0</v>
      </c>
      <c r="AH43" s="67">
        <f>Dinamica!AH105</f>
        <v>0</v>
      </c>
      <c r="AI43" s="67">
        <f>Dinamica!AI105</f>
        <v>0</v>
      </c>
      <c r="AJ43" s="67">
        <f>Dinamica!AJ105</f>
        <v>0</v>
      </c>
      <c r="AK43" s="67">
        <f>Dinamica!AK105</f>
        <v>0</v>
      </c>
    </row>
    <row r="44" spans="1:37" ht="27" customHeight="1" x14ac:dyDescent="0.2">
      <c r="A44" s="49" t="s">
        <v>580</v>
      </c>
      <c r="B44" s="48" t="s">
        <v>523</v>
      </c>
      <c r="C44" s="48" t="s">
        <v>475</v>
      </c>
      <c r="D44" s="67">
        <f>Dinamica_Pess!D87</f>
        <v>0</v>
      </c>
      <c r="E44" s="67">
        <f>Dinamica_Pess!E87</f>
        <v>0</v>
      </c>
      <c r="F44" s="67">
        <f>Dinamica_Pess!F87</f>
        <v>0</v>
      </c>
      <c r="G44" s="67">
        <f>Dinamica_Pess!G87</f>
        <v>0</v>
      </c>
      <c r="H44" s="67">
        <f>Dinamica_Pess!H87</f>
        <v>0</v>
      </c>
      <c r="I44" s="67">
        <f>Dinamica_Pess!I87</f>
        <v>0</v>
      </c>
      <c r="J44" s="67">
        <f>Dinamica_Pess!J87</f>
        <v>0</v>
      </c>
      <c r="K44" s="67">
        <f>Dinamica_Pess!K87</f>
        <v>0</v>
      </c>
      <c r="L44" s="67">
        <f>Dinamica_Pess!L87</f>
        <v>0</v>
      </c>
      <c r="M44" s="67">
        <f>Dinamica_Pess!M87</f>
        <v>0</v>
      </c>
      <c r="N44" s="67">
        <f>Dinamica_Pess!N87</f>
        <v>0</v>
      </c>
      <c r="O44" s="67">
        <f>Dinamica_Pess!O87</f>
        <v>0</v>
      </c>
      <c r="P44" s="67">
        <f>Dinamica_Pess!P87</f>
        <v>0</v>
      </c>
      <c r="Q44" s="67">
        <f>Dinamica_Pess!Q87</f>
        <v>0</v>
      </c>
      <c r="R44" s="67">
        <f>Dinamica_Pess!R87</f>
        <v>0</v>
      </c>
      <c r="S44" s="67">
        <f>Dinamica_Pess!S87</f>
        <v>0</v>
      </c>
      <c r="T44" s="67">
        <f>Dinamica_Pess!T87</f>
        <v>0</v>
      </c>
      <c r="U44" s="67">
        <f>Dinamica_Pess!U87</f>
        <v>0</v>
      </c>
      <c r="V44" s="67">
        <f>Dinamica_Pess!V87</f>
        <v>0</v>
      </c>
      <c r="W44" s="67">
        <f>Dinamica_Pess!W87</f>
        <v>0</v>
      </c>
      <c r="X44" s="67">
        <f>Dinamica_Pess!X87</f>
        <v>0</v>
      </c>
      <c r="Y44" s="67">
        <f>Dinamica_Pess!Y87</f>
        <v>0</v>
      </c>
      <c r="Z44" s="67">
        <f>Dinamica_Pess!Z87</f>
        <v>0</v>
      </c>
      <c r="AA44" s="67">
        <f>Dinamica_Pess!AA87</f>
        <v>0</v>
      </c>
      <c r="AB44" s="67">
        <f>Dinamica_Pess!AB87</f>
        <v>0</v>
      </c>
      <c r="AC44" s="67">
        <f>Dinamica_Pess!AC87</f>
        <v>0</v>
      </c>
      <c r="AD44" s="67">
        <f>Dinamica_Pess!AD87</f>
        <v>0</v>
      </c>
      <c r="AE44" s="67">
        <f>Dinamica_Pess!AE87</f>
        <v>0</v>
      </c>
      <c r="AF44" s="67">
        <f>Dinamica_Pess!AF87</f>
        <v>0</v>
      </c>
      <c r="AG44" s="67">
        <f>Dinamica_Pess!AG87</f>
        <v>0</v>
      </c>
      <c r="AH44" s="67">
        <f>Dinamica_Pess!AH87</f>
        <v>0</v>
      </c>
      <c r="AI44" s="67">
        <f>Dinamica_Pess!AI87</f>
        <v>0</v>
      </c>
      <c r="AJ44" s="67">
        <f>Dinamica_Pess!AJ87</f>
        <v>0</v>
      </c>
      <c r="AK44" s="67">
        <f>Dinamica_Pess!AK87</f>
        <v>0</v>
      </c>
    </row>
    <row r="45" spans="1:37" ht="18" customHeight="1" x14ac:dyDescent="0.2">
      <c r="A45" s="49" t="s">
        <v>581</v>
      </c>
      <c r="B45" s="48" t="s">
        <v>48</v>
      </c>
      <c r="C45" s="48" t="s">
        <v>474</v>
      </c>
      <c r="D45" s="51">
        <f>Dinamica!D107</f>
        <v>0</v>
      </c>
      <c r="E45" s="51">
        <f>Dinamica!E107</f>
        <v>0</v>
      </c>
      <c r="F45" s="51">
        <f>Dinamica!F107</f>
        <v>0</v>
      </c>
      <c r="G45" s="51">
        <f>Dinamica!G107</f>
        <v>0</v>
      </c>
      <c r="H45" s="51">
        <f>Dinamica!H107</f>
        <v>0</v>
      </c>
      <c r="I45" s="51">
        <f>Dinamica!I107</f>
        <v>0</v>
      </c>
      <c r="J45" s="51">
        <f>Dinamica!J107</f>
        <v>0</v>
      </c>
      <c r="K45" s="51">
        <f>Dinamica!K107</f>
        <v>0</v>
      </c>
      <c r="L45" s="51">
        <f>Dinamica!L107</f>
        <v>0</v>
      </c>
      <c r="M45" s="51">
        <f>Dinamica!M107</f>
        <v>0</v>
      </c>
      <c r="N45" s="51">
        <f>Dinamica!N107</f>
        <v>0</v>
      </c>
      <c r="O45" s="51">
        <f>Dinamica!O107</f>
        <v>0</v>
      </c>
      <c r="P45" s="51">
        <f>Dinamica!P107</f>
        <v>0</v>
      </c>
      <c r="Q45" s="51">
        <f>Dinamica!Q107</f>
        <v>0</v>
      </c>
      <c r="R45" s="51">
        <f>Dinamica!R107</f>
        <v>0</v>
      </c>
      <c r="S45" s="51">
        <f>Dinamica!S107</f>
        <v>0</v>
      </c>
      <c r="T45" s="51">
        <f>Dinamica!T107</f>
        <v>0</v>
      </c>
      <c r="U45" s="51">
        <f>Dinamica!U107</f>
        <v>0</v>
      </c>
      <c r="V45" s="51">
        <f>Dinamica!V107</f>
        <v>0</v>
      </c>
      <c r="W45" s="51">
        <f>Dinamica!W107</f>
        <v>0</v>
      </c>
      <c r="X45" s="51">
        <f>Dinamica!X107</f>
        <v>0</v>
      </c>
      <c r="Y45" s="51">
        <f>Dinamica!Y107</f>
        <v>0</v>
      </c>
      <c r="Z45" s="51">
        <f>Dinamica!Z107</f>
        <v>0</v>
      </c>
      <c r="AA45" s="51">
        <f>Dinamica!AA107</f>
        <v>0</v>
      </c>
      <c r="AB45" s="51">
        <f>Dinamica!AB107</f>
        <v>0</v>
      </c>
      <c r="AC45" s="51">
        <f>Dinamica!AC107</f>
        <v>0</v>
      </c>
      <c r="AD45" s="51">
        <f>Dinamica!AD107</f>
        <v>0</v>
      </c>
      <c r="AE45" s="51">
        <f>Dinamica!AE107</f>
        <v>0</v>
      </c>
      <c r="AF45" s="51">
        <f>Dinamica!AF107</f>
        <v>0</v>
      </c>
      <c r="AG45" s="51">
        <f>Dinamica!AG107</f>
        <v>0</v>
      </c>
      <c r="AH45" s="51">
        <f>Dinamica!AH107</f>
        <v>0</v>
      </c>
      <c r="AI45" s="51">
        <f>Dinamica!AI107</f>
        <v>0</v>
      </c>
      <c r="AJ45" s="51">
        <f>Dinamica!AJ107</f>
        <v>0</v>
      </c>
      <c r="AK45" s="51">
        <f>Dinamica!AK107</f>
        <v>0</v>
      </c>
    </row>
    <row r="46" spans="1:37" ht="15" customHeight="1" x14ac:dyDescent="0.2">
      <c r="A46" s="49" t="s">
        <v>581</v>
      </c>
      <c r="B46" s="48" t="s">
        <v>48</v>
      </c>
      <c r="C46" s="48" t="s">
        <v>475</v>
      </c>
      <c r="D46" s="51">
        <f>Dinamica_Pess!D89</f>
        <v>0</v>
      </c>
      <c r="E46" s="51">
        <f>Dinamica_Pess!E89</f>
        <v>0</v>
      </c>
      <c r="F46" s="51">
        <f>Dinamica_Pess!F89</f>
        <v>0</v>
      </c>
      <c r="G46" s="51">
        <f>Dinamica_Pess!G89</f>
        <v>0</v>
      </c>
      <c r="H46" s="51">
        <f>Dinamica_Pess!H89</f>
        <v>0</v>
      </c>
      <c r="I46" s="51">
        <f>Dinamica_Pess!I89</f>
        <v>0</v>
      </c>
      <c r="J46" s="51">
        <f>Dinamica_Pess!J89</f>
        <v>0</v>
      </c>
      <c r="K46" s="51">
        <f>Dinamica_Pess!K89</f>
        <v>0</v>
      </c>
      <c r="L46" s="51">
        <f>Dinamica_Pess!L89</f>
        <v>0</v>
      </c>
      <c r="M46" s="51">
        <f>Dinamica_Pess!M89</f>
        <v>0</v>
      </c>
      <c r="N46" s="51">
        <f>Dinamica_Pess!N89</f>
        <v>0</v>
      </c>
      <c r="O46" s="51">
        <f>Dinamica_Pess!O89</f>
        <v>0</v>
      </c>
      <c r="P46" s="51">
        <f>Dinamica_Pess!P89</f>
        <v>0</v>
      </c>
      <c r="Q46" s="51">
        <f>Dinamica_Pess!Q89</f>
        <v>0</v>
      </c>
      <c r="R46" s="51">
        <f>Dinamica_Pess!R89</f>
        <v>0</v>
      </c>
      <c r="S46" s="51">
        <f>Dinamica_Pess!S89</f>
        <v>0</v>
      </c>
      <c r="T46" s="51">
        <f>Dinamica_Pess!T89</f>
        <v>0</v>
      </c>
      <c r="U46" s="51">
        <f>Dinamica_Pess!U89</f>
        <v>0</v>
      </c>
      <c r="V46" s="51">
        <f>Dinamica_Pess!V89</f>
        <v>0</v>
      </c>
      <c r="W46" s="51">
        <f>Dinamica_Pess!W89</f>
        <v>0</v>
      </c>
      <c r="X46" s="51">
        <f>Dinamica_Pess!X89</f>
        <v>0</v>
      </c>
      <c r="Y46" s="51">
        <f>Dinamica_Pess!Y89</f>
        <v>0</v>
      </c>
      <c r="Z46" s="51">
        <f>Dinamica_Pess!Z89</f>
        <v>0</v>
      </c>
      <c r="AA46" s="51">
        <f>Dinamica_Pess!AA89</f>
        <v>0</v>
      </c>
      <c r="AB46" s="51">
        <f>Dinamica_Pess!AB89</f>
        <v>0</v>
      </c>
      <c r="AC46" s="51">
        <f>Dinamica_Pess!AC89</f>
        <v>0</v>
      </c>
      <c r="AD46" s="51">
        <f>Dinamica_Pess!AD89</f>
        <v>0</v>
      </c>
      <c r="AE46" s="51">
        <f>Dinamica_Pess!AE89</f>
        <v>0</v>
      </c>
      <c r="AF46" s="51">
        <f>Dinamica_Pess!AF89</f>
        <v>0</v>
      </c>
      <c r="AG46" s="51">
        <f>Dinamica_Pess!AG89</f>
        <v>0</v>
      </c>
      <c r="AH46" s="51">
        <f>Dinamica_Pess!AH89</f>
        <v>0</v>
      </c>
      <c r="AI46" s="51">
        <f>Dinamica_Pess!AI89</f>
        <v>0</v>
      </c>
      <c r="AJ46" s="51">
        <f>Dinamica_Pess!AJ89</f>
        <v>0</v>
      </c>
      <c r="AK46" s="51">
        <f>Dinamica_Pess!AK89</f>
        <v>0</v>
      </c>
    </row>
    <row r="47" spans="1:37" ht="15" customHeight="1" x14ac:dyDescent="0.2">
      <c r="A47" s="86" t="s">
        <v>582</v>
      </c>
      <c r="B47" s="86"/>
      <c r="C47" s="86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</row>
    <row r="48" spans="1:37" s="95" customFormat="1" ht="15" customHeight="1" x14ac:dyDescent="0.2">
      <c r="A48" s="49" t="s">
        <v>583</v>
      </c>
      <c r="B48" s="48" t="s">
        <v>523</v>
      </c>
      <c r="C48" s="48" t="s">
        <v>474</v>
      </c>
      <c r="D48" s="67">
        <f>Modello!AE5</f>
        <v>9.3589455999999966</v>
      </c>
      <c r="E48" s="67">
        <f>Modello!AE6</f>
        <v>17.352724727316797</v>
      </c>
      <c r="F48" s="67">
        <f>Modello!AE7</f>
        <v>17.76043234128193</v>
      </c>
      <c r="G48" s="67">
        <f>Modello!AE8</f>
        <v>15.031909980877021</v>
      </c>
      <c r="H48" s="67">
        <f>Modello!AE9</f>
        <v>16.354045499971875</v>
      </c>
      <c r="I48" s="67">
        <f>Modello!AE10</f>
        <v>18.129933024856449</v>
      </c>
      <c r="J48" s="67">
        <f>Modello!AE11</f>
        <v>20.471193701985158</v>
      </c>
      <c r="K48" s="67">
        <f>Modello!AE12</f>
        <v>23.140886701679275</v>
      </c>
      <c r="L48" s="67">
        <f>Modello!AE13</f>
        <v>25.858944815783826</v>
      </c>
      <c r="M48" s="67">
        <f>Modello!AE14</f>
        <v>28.905300615127736</v>
      </c>
      <c r="N48" s="67">
        <f>Modello!AE15</f>
        <v>27.161389887977911</v>
      </c>
      <c r="O48" s="67">
        <f>Modello!AE16</f>
        <v>25.453159770190702</v>
      </c>
      <c r="P48" s="67">
        <f>Modello!AE17</f>
        <v>28.120096175810296</v>
      </c>
      <c r="Q48" s="67">
        <f>Modello!AE18</f>
        <v>31.075557260857948</v>
      </c>
      <c r="R48" s="67">
        <f>Modello!AE19</f>
        <v>34.039460141609773</v>
      </c>
      <c r="S48" s="67">
        <f>Modello!AE20</f>
        <v>33.607871545109255</v>
      </c>
      <c r="T48" s="67">
        <f>Modello!AE21</f>
        <v>35.750745055498761</v>
      </c>
      <c r="U48" s="67">
        <f>Modello!AE22</f>
        <v>38.177998050899348</v>
      </c>
      <c r="V48" s="67">
        <f>Modello!AE23</f>
        <v>40.609491090293766</v>
      </c>
      <c r="W48" s="67">
        <f>Modello!AE24</f>
        <v>43.325083854930533</v>
      </c>
      <c r="X48" s="67">
        <f>Modello!AE25</f>
        <v>36.782513642297317</v>
      </c>
      <c r="Y48" s="67">
        <f>Modello!AE26</f>
        <v>40.051201259165161</v>
      </c>
      <c r="Z48" s="67">
        <f>Modello!AE27</f>
        <v>43.327467533944585</v>
      </c>
      <c r="AA48" s="67">
        <f>Modello!AE28</f>
        <v>46.891210028661547</v>
      </c>
      <c r="AB48" s="67">
        <f>Modello!AE29</f>
        <v>50.462325805508243</v>
      </c>
      <c r="AC48" s="67">
        <f>Modello!AE30</f>
        <v>54.320711416946793</v>
      </c>
      <c r="AD48" s="67">
        <f>Modello!AE31</f>
        <v>58.186262895810323</v>
      </c>
      <c r="AE48" s="67">
        <f>Modello!AE32</f>
        <v>62.338875745399861</v>
      </c>
      <c r="AF48" s="67">
        <f>Modello!AE33</f>
        <v>66.498444929576209</v>
      </c>
      <c r="AG48" s="67">
        <f>Modello!AE34</f>
        <v>70.94486486284535</v>
      </c>
      <c r="AH48" s="67">
        <f>Modello!AE35</f>
        <v>75.973821896904354</v>
      </c>
      <c r="AI48" s="67">
        <f>Modello!AE36</f>
        <v>81.294331526257523</v>
      </c>
      <c r="AJ48" s="67">
        <f>Modello!AE37</f>
        <v>86.626352393845139</v>
      </c>
      <c r="AK48" s="67">
        <f>Modello!AE38</f>
        <v>92.249843112567689</v>
      </c>
    </row>
    <row r="49" spans="1:37" s="89" customFormat="1" ht="15" customHeight="1" x14ac:dyDescent="0.2">
      <c r="A49" s="49" t="s">
        <v>583</v>
      </c>
      <c r="B49" s="48" t="s">
        <v>523</v>
      </c>
      <c r="C49" s="48" t="s">
        <v>475</v>
      </c>
      <c r="D49" s="67">
        <f>Modello_Pess!AE5</f>
        <v>9.3589455999999966</v>
      </c>
      <c r="E49" s="67">
        <f>Modello_Pess!AE6</f>
        <v>17.363327983399998</v>
      </c>
      <c r="F49" s="67">
        <f>Modello_Pess!AE7</f>
        <v>17.78479301022875</v>
      </c>
      <c r="G49" s="67">
        <f>Modello_Pess!AE8</f>
        <v>15.073238139985547</v>
      </c>
      <c r="H49" s="67">
        <f>Modello_Pess!AE9</f>
        <v>16.415607939479933</v>
      </c>
      <c r="I49" s="67">
        <f>Modello_Pess!AE10</f>
        <v>18.215054049660466</v>
      </c>
      <c r="J49" s="67">
        <f>Modello_Pess!AE11</f>
        <v>20.576986833190638</v>
      </c>
      <c r="K49" s="67">
        <f>Modello_Pess!AE12</f>
        <v>23.268599816860235</v>
      </c>
      <c r="L49" s="67">
        <f>Modello_Pess!AE13</f>
        <v>26.009846023645217</v>
      </c>
      <c r="M49" s="67">
        <f>Modello_Pess!AE14</f>
        <v>29.080678531392863</v>
      </c>
      <c r="N49" s="67">
        <f>Modello_Pess!AE15</f>
        <v>27.458267836927462</v>
      </c>
      <c r="O49" s="67">
        <f>Modello_Pess!AE16</f>
        <v>25.7896013464512</v>
      </c>
      <c r="P49" s="67">
        <f>Modello_Pess!AE17</f>
        <v>28.497995660780482</v>
      </c>
      <c r="Q49" s="67">
        <f>Modello_Pess!AE18</f>
        <v>31.496835772501402</v>
      </c>
      <c r="R49" s="67">
        <f>Modello_Pess!AE19</f>
        <v>34.50606601783209</v>
      </c>
      <c r="S49" s="67">
        <f>Modello_Pess!AE20</f>
        <v>34.12178073108884</v>
      </c>
      <c r="T49" s="67">
        <f>Modello_Pess!AE21</f>
        <v>36.321150143200938</v>
      </c>
      <c r="U49" s="67">
        <f>Modello_Pess!AE22</f>
        <v>38.808996684522903</v>
      </c>
      <c r="V49" s="67">
        <f>Modello_Pess!AE23</f>
        <v>41.30522661649978</v>
      </c>
      <c r="W49" s="67">
        <f>Modello_Pess!AE24</f>
        <v>44.089746091644002</v>
      </c>
      <c r="X49" s="67">
        <f>Modello_Pess!AE25</f>
        <v>37.983157141456829</v>
      </c>
      <c r="Y49" s="67">
        <f>Modello_Pess!AE26</f>
        <v>41.346806766162693</v>
      </c>
      <c r="Z49" s="67">
        <f>Modello_Pess!AE27</f>
        <v>44.721438149112529</v>
      </c>
      <c r="AA49" s="67">
        <f>Modello_Pess!AE28</f>
        <v>48.386982994140972</v>
      </c>
      <c r="AB49" s="67">
        <f>Modello_Pess!AE29</f>
        <v>52.063373070767298</v>
      </c>
      <c r="AC49" s="67">
        <f>Modello_Pess!AE30</f>
        <v>56.030540208633035</v>
      </c>
      <c r="AD49" s="67">
        <f>Modello_Pess!AE31</f>
        <v>60.008416291984389</v>
      </c>
      <c r="AE49" s="67">
        <f>Modello_Pess!AE32</f>
        <v>64.276933254198624</v>
      </c>
      <c r="AF49" s="67">
        <f>Modello_Pess!AE33</f>
        <v>68.556023072353725</v>
      </c>
      <c r="AG49" s="67">
        <f>Modello_Pess!AE34</f>
        <v>73.125617761840147</v>
      </c>
      <c r="AH49" s="67">
        <f>Modello_Pess!AE35</f>
        <v>78.247942816206688</v>
      </c>
      <c r="AI49" s="67">
        <f>Modello_Pess!AE36</f>
        <v>83.663091555283344</v>
      </c>
      <c r="AJ49" s="67">
        <f>Modello_Pess!AE37</f>
        <v>89.091036749489831</v>
      </c>
      <c r="AK49" s="67">
        <f>Modello_Pess!AE38</f>
        <v>94.811751309147979</v>
      </c>
    </row>
    <row r="50" spans="1:37" s="95" customFormat="1" ht="15" customHeight="1" x14ac:dyDescent="0.2">
      <c r="A50" s="49" t="s">
        <v>584</v>
      </c>
      <c r="B50" s="48" t="s">
        <v>523</v>
      </c>
      <c r="C50" s="48" t="s">
        <v>474</v>
      </c>
      <c r="D50" s="67">
        <f>Modello!AF5</f>
        <v>9.3589455999999966</v>
      </c>
      <c r="E50" s="67">
        <f>Modello!AF6</f>
        <v>26.711670327316796</v>
      </c>
      <c r="F50" s="67">
        <f>Modello!AF7</f>
        <v>44.472102668598723</v>
      </c>
      <c r="G50" s="67">
        <f>Modello!AF8</f>
        <v>59.50401264947574</v>
      </c>
      <c r="H50" s="67">
        <f>Modello!AF9</f>
        <v>75.858058149447615</v>
      </c>
      <c r="I50" s="67">
        <f>Modello!AF10</f>
        <v>93.987991174304057</v>
      </c>
      <c r="J50" s="67">
        <f>Modello!AF11</f>
        <v>114.45918487628921</v>
      </c>
      <c r="K50" s="67">
        <f>Modello!AF12</f>
        <v>137.60007157796849</v>
      </c>
      <c r="L50" s="67">
        <f>Modello!AF13</f>
        <v>163.45901639375231</v>
      </c>
      <c r="M50" s="67">
        <f>Modello!AF14</f>
        <v>192.36431700888005</v>
      </c>
      <c r="N50" s="67">
        <f>Modello!AF15</f>
        <v>219.52570689685797</v>
      </c>
      <c r="O50" s="67">
        <f>Modello!AF16</f>
        <v>244.97886666704866</v>
      </c>
      <c r="P50" s="67">
        <f>Modello!AF17</f>
        <v>273.09896284285895</v>
      </c>
      <c r="Q50" s="67">
        <f>Modello!AF18</f>
        <v>304.17452010371687</v>
      </c>
      <c r="R50" s="67">
        <f>Modello!AF19</f>
        <v>338.21398024532664</v>
      </c>
      <c r="S50" s="67">
        <f>Modello!AF20</f>
        <v>371.82185179043591</v>
      </c>
      <c r="T50" s="67">
        <f>Modello!AF21</f>
        <v>407.5725968459347</v>
      </c>
      <c r="U50" s="67">
        <f>Modello!AF22</f>
        <v>445.75059489683406</v>
      </c>
      <c r="V50" s="67">
        <f>Modello!AF23</f>
        <v>486.36008598712783</v>
      </c>
      <c r="W50" s="67">
        <f>Modello!AF24</f>
        <v>529.68516984205837</v>
      </c>
      <c r="X50" s="67">
        <f>Modello!AF25</f>
        <v>566.46768348435569</v>
      </c>
      <c r="Y50" s="67">
        <f>Modello!AF26</f>
        <v>606.51888474352086</v>
      </c>
      <c r="Z50" s="67">
        <f>Modello!AF27</f>
        <v>649.84635227746548</v>
      </c>
      <c r="AA50" s="67">
        <f>Modello!AF28</f>
        <v>696.73756230612707</v>
      </c>
      <c r="AB50" s="67">
        <f>Modello!AF29</f>
        <v>747.19988811163535</v>
      </c>
      <c r="AC50" s="67">
        <f>Modello!AF30</f>
        <v>801.52059952858212</v>
      </c>
      <c r="AD50" s="67">
        <f>Modello!AF31</f>
        <v>859.7068624243924</v>
      </c>
      <c r="AE50" s="67">
        <f>Modello!AF32</f>
        <v>922.04573816979223</v>
      </c>
      <c r="AF50" s="67">
        <f>Modello!AF33</f>
        <v>988.54418309936841</v>
      </c>
      <c r="AG50" s="67">
        <f>Modello!AF34</f>
        <v>1059.4890479622138</v>
      </c>
      <c r="AH50" s="67">
        <f>Modello!AF35</f>
        <v>1135.4628698591182</v>
      </c>
      <c r="AI50" s="67">
        <f>Modello!AF36</f>
        <v>1216.7572013853758</v>
      </c>
      <c r="AJ50" s="67">
        <f>Modello!AF37</f>
        <v>1303.3835537792208</v>
      </c>
      <c r="AK50" s="67">
        <f>Modello!AF38</f>
        <v>1395.6333968917886</v>
      </c>
    </row>
    <row r="51" spans="1:37" s="89" customFormat="1" ht="15" customHeight="1" x14ac:dyDescent="0.2">
      <c r="A51" s="49" t="s">
        <v>584</v>
      </c>
      <c r="B51" s="48" t="s">
        <v>523</v>
      </c>
      <c r="C51" s="48" t="s">
        <v>475</v>
      </c>
      <c r="D51" s="67">
        <f>Modello_Pess!AF5</f>
        <v>9.3589455999999966</v>
      </c>
      <c r="E51" s="67">
        <f>Modello_Pess!AF6</f>
        <v>26.722273583399996</v>
      </c>
      <c r="F51" s="67">
        <f>Modello_Pess!AF7</f>
        <v>44.50706659362875</v>
      </c>
      <c r="G51" s="67">
        <f>Modello_Pess!AF8</f>
        <v>59.580304733614298</v>
      </c>
      <c r="H51" s="67">
        <f>Modello_Pess!AF9</f>
        <v>75.995912673094239</v>
      </c>
      <c r="I51" s="67">
        <f>Modello_Pess!AF10</f>
        <v>94.210966722754705</v>
      </c>
      <c r="J51" s="67">
        <f>Modello_Pess!AF11</f>
        <v>114.78795355594534</v>
      </c>
      <c r="K51" s="67">
        <f>Modello_Pess!AF12</f>
        <v>138.05655337280558</v>
      </c>
      <c r="L51" s="67">
        <f>Modello_Pess!AF13</f>
        <v>164.06639939645081</v>
      </c>
      <c r="M51" s="67">
        <f>Modello_Pess!AF14</f>
        <v>193.14707792784367</v>
      </c>
      <c r="N51" s="67">
        <f>Modello_Pess!AF15</f>
        <v>220.60534576477113</v>
      </c>
      <c r="O51" s="67">
        <f>Modello_Pess!AF16</f>
        <v>246.39494711122234</v>
      </c>
      <c r="P51" s="67">
        <f>Modello_Pess!AF17</f>
        <v>274.89294277200281</v>
      </c>
      <c r="Q51" s="67">
        <f>Modello_Pess!AF18</f>
        <v>306.38977854450422</v>
      </c>
      <c r="R51" s="67">
        <f>Modello_Pess!AF19</f>
        <v>340.89584456233632</v>
      </c>
      <c r="S51" s="67">
        <f>Modello_Pess!AF20</f>
        <v>375.01762529342517</v>
      </c>
      <c r="T51" s="67">
        <f>Modello_Pess!AF21</f>
        <v>411.33877543662612</v>
      </c>
      <c r="U51" s="67">
        <f>Modello_Pess!AF22</f>
        <v>450.14777212114905</v>
      </c>
      <c r="V51" s="67">
        <f>Modello_Pess!AF23</f>
        <v>491.45299873764884</v>
      </c>
      <c r="W51" s="67">
        <f>Modello_Pess!AF24</f>
        <v>535.54274482929281</v>
      </c>
      <c r="X51" s="67">
        <f>Modello_Pess!AF25</f>
        <v>573.5259019707496</v>
      </c>
      <c r="Y51" s="67">
        <f>Modello_Pess!AF26</f>
        <v>614.87270873691227</v>
      </c>
      <c r="Z51" s="67">
        <f>Modello_Pess!AF27</f>
        <v>659.59414688602476</v>
      </c>
      <c r="AA51" s="67">
        <f>Modello_Pess!AF28</f>
        <v>707.98112988016578</v>
      </c>
      <c r="AB51" s="67">
        <f>Modello_Pess!AF29</f>
        <v>760.04450295093307</v>
      </c>
      <c r="AC51" s="67">
        <f>Modello_Pess!AF30</f>
        <v>816.07504315956612</v>
      </c>
      <c r="AD51" s="67">
        <f>Modello_Pess!AF31</f>
        <v>876.08345945155054</v>
      </c>
      <c r="AE51" s="67">
        <f>Modello_Pess!AF32</f>
        <v>940.36039270574918</v>
      </c>
      <c r="AF51" s="67">
        <f>Modello_Pess!AF33</f>
        <v>1008.9164157781029</v>
      </c>
      <c r="AG51" s="67">
        <f>Modello_Pess!AF34</f>
        <v>1082.0420335399431</v>
      </c>
      <c r="AH51" s="67">
        <f>Modello_Pess!AF35</f>
        <v>1160.2899763561497</v>
      </c>
      <c r="AI51" s="67">
        <f>Modello_Pess!AF36</f>
        <v>1243.953067911433</v>
      </c>
      <c r="AJ51" s="67">
        <f>Modello_Pess!AF37</f>
        <v>1333.0441046609228</v>
      </c>
      <c r="AK51" s="67">
        <f>Modello_Pess!AF38</f>
        <v>1427.8558559700707</v>
      </c>
    </row>
    <row r="52" spans="1:37" ht="15" customHeight="1" x14ac:dyDescent="0.2"/>
    <row r="53" spans="1:37" s="89" customFormat="1" ht="45" customHeight="1" x14ac:dyDescent="0.2">
      <c r="A53" s="57" t="s">
        <v>585</v>
      </c>
      <c r="B53" s="60"/>
      <c r="C53" s="60" t="s">
        <v>586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 spans="1:37" s="95" customFormat="1" ht="15" customHeight="1" x14ac:dyDescent="0.2">
      <c r="A54" s="61" t="s">
        <v>517</v>
      </c>
      <c r="B54" s="62" t="s">
        <v>4</v>
      </c>
      <c r="C54" s="62" t="s">
        <v>393</v>
      </c>
      <c r="D54" s="62">
        <v>2027</v>
      </c>
      <c r="E54" s="62">
        <v>2028</v>
      </c>
      <c r="F54" s="62">
        <v>2029</v>
      </c>
      <c r="G54" s="62">
        <v>2030</v>
      </c>
      <c r="H54" s="62">
        <v>2031</v>
      </c>
      <c r="I54" s="62">
        <v>2032</v>
      </c>
      <c r="J54" s="62">
        <v>2033</v>
      </c>
      <c r="K54" s="62">
        <v>2034</v>
      </c>
      <c r="L54" s="62">
        <v>2035</v>
      </c>
      <c r="M54" s="62">
        <v>2036</v>
      </c>
      <c r="N54" s="62">
        <v>2037</v>
      </c>
      <c r="O54" s="62">
        <v>2038</v>
      </c>
      <c r="P54" s="62">
        <v>2039</v>
      </c>
      <c r="Q54" s="62">
        <v>2040</v>
      </c>
      <c r="R54" s="62">
        <v>2041</v>
      </c>
      <c r="S54" s="62">
        <v>2042</v>
      </c>
      <c r="T54" s="62">
        <v>2043</v>
      </c>
      <c r="U54" s="62">
        <v>2044</v>
      </c>
      <c r="V54" s="62">
        <v>2045</v>
      </c>
      <c r="W54" s="62">
        <v>2046</v>
      </c>
      <c r="X54" s="62">
        <v>2047</v>
      </c>
      <c r="Y54" s="62">
        <v>2048</v>
      </c>
      <c r="Z54" s="62">
        <v>2049</v>
      </c>
      <c r="AA54" s="62">
        <v>2050</v>
      </c>
      <c r="AB54" s="62">
        <v>2051</v>
      </c>
      <c r="AC54" s="62">
        <v>2052</v>
      </c>
      <c r="AD54" s="62">
        <v>2053</v>
      </c>
      <c r="AE54" s="62">
        <v>2054</v>
      </c>
      <c r="AF54" s="62">
        <v>2055</v>
      </c>
      <c r="AG54" s="62">
        <v>2056</v>
      </c>
      <c r="AH54" s="62">
        <v>2057</v>
      </c>
      <c r="AI54" s="62">
        <v>2058</v>
      </c>
      <c r="AJ54" s="62">
        <v>2059</v>
      </c>
      <c r="AK54" s="62">
        <v>2060</v>
      </c>
    </row>
    <row r="55" spans="1:37" s="89" customFormat="1" ht="15" customHeight="1" x14ac:dyDescent="0.2">
      <c r="A55" s="49" t="s">
        <v>587</v>
      </c>
      <c r="B55" s="48" t="s">
        <v>523</v>
      </c>
      <c r="C55" s="48" t="s">
        <v>474</v>
      </c>
      <c r="D55" s="67">
        <f>Dinamica!D16</f>
        <v>6.1677000000000017</v>
      </c>
      <c r="E55" s="67">
        <f>Dinamica!E16</f>
        <v>13.571175738384003</v>
      </c>
      <c r="F55" s="67">
        <f>Dinamica!F16</f>
        <v>22.256709122233854</v>
      </c>
      <c r="G55" s="67">
        <f>Dinamica!G16</f>
        <v>32.271906162686555</v>
      </c>
      <c r="H55" s="67">
        <f>Dinamica!H16</f>
        <v>43.66573180298866</v>
      </c>
      <c r="I55" s="67">
        <f>Dinamica!I16</f>
        <v>56.488545632353571</v>
      </c>
      <c r="J55" s="67">
        <f>Dinamica!J16</f>
        <v>70.078797673650911</v>
      </c>
      <c r="K55" s="67">
        <f>Dinamica!K16</f>
        <v>84.461192792685708</v>
      </c>
      <c r="L55" s="67">
        <f>Dinamica!L16</f>
        <v>99.661111646521547</v>
      </c>
      <c r="M55" s="67">
        <f>Dinamica!M16</f>
        <v>115.70462816080587</v>
      </c>
      <c r="N55" s="67">
        <f>Dinamica!N16</f>
        <v>139.24660491893846</v>
      </c>
      <c r="O55" s="67">
        <f>Dinamica!O16</f>
        <v>164.03999546342737</v>
      </c>
      <c r="P55" s="67">
        <f>Dinamica!P16</f>
        <v>190.12339998307189</v>
      </c>
      <c r="Q55" s="67">
        <f>Dinamica!Q16</f>
        <v>217.53646412728239</v>
      </c>
      <c r="R55" s="67">
        <f>Dinamica!R16</f>
        <v>246.31990591005294</v>
      </c>
      <c r="S55" s="67">
        <f>Dinamica!S16</f>
        <v>279.59939329325056</v>
      </c>
      <c r="T55" s="67">
        <f>Dinamica!T16</f>
        <v>314.88252371045382</v>
      </c>
      <c r="U55" s="67">
        <f>Dinamica!U16</f>
        <v>352.22315944821031</v>
      </c>
      <c r="V55" s="67">
        <f>Dinamica!V16</f>
        <v>391.67659148540668</v>
      </c>
      <c r="W55" s="67">
        <f>Dinamica!W16</f>
        <v>433.29957563869499</v>
      </c>
      <c r="X55" s="67">
        <f>Dinamica!X16</f>
        <v>490.01442724432144</v>
      </c>
      <c r="Y55" s="67">
        <f>Dinamica!Y16</f>
        <v>549.15871983848581</v>
      </c>
      <c r="Z55" s="67">
        <f>Dinamica!Z16</f>
        <v>610.79953432818888</v>
      </c>
      <c r="AA55" s="67">
        <f>Dinamica!AA16</f>
        <v>675.00572053149017</v>
      </c>
      <c r="AB55" s="67">
        <f>Dinamica!AB16</f>
        <v>741.84794205804292</v>
      </c>
      <c r="AC55" s="67">
        <f>Dinamica!AC16</f>
        <v>811.39872231779123</v>
      </c>
      <c r="AD55" s="67">
        <f>Dinamica!AD16</f>
        <v>883.73249168608083</v>
      </c>
      <c r="AE55" s="67">
        <f>Dinamica!AE16</f>
        <v>958.92563585414189</v>
      </c>
      <c r="AF55" s="67">
        <f>Dinamica!AF16</f>
        <v>1037.0565453946281</v>
      </c>
      <c r="AG55" s="67">
        <f>Dinamica!AG16</f>
        <v>1118.2056665726366</v>
      </c>
      <c r="AH55" s="67">
        <f>Dinamica!AH16</f>
        <v>1201.6667965889201</v>
      </c>
      <c r="AI55" s="67">
        <f>Dinamica!AI16</f>
        <v>1287.4981992715152</v>
      </c>
      <c r="AJ55" s="67">
        <f>Dinamica!AJ16</f>
        <v>1375.7596027544164</v>
      </c>
      <c r="AK55" s="67">
        <f>Dinamica!AK16</f>
        <v>1466.5122360342461</v>
      </c>
    </row>
    <row r="56" spans="1:37" s="95" customFormat="1" ht="15" customHeight="1" x14ac:dyDescent="0.2">
      <c r="A56" s="53" t="s">
        <v>587</v>
      </c>
      <c r="B56" s="52" t="s">
        <v>523</v>
      </c>
      <c r="C56" s="52" t="s">
        <v>475</v>
      </c>
      <c r="D56" s="68">
        <f>Dinamica_Pess!D16</f>
        <v>6.1677000000000017</v>
      </c>
      <c r="E56" s="68">
        <f>Dinamica_Pess!E16</f>
        <v>13.556798442000003</v>
      </c>
      <c r="F56" s="68">
        <f>Dinamica_Pess!F16</f>
        <v>22.208979357990003</v>
      </c>
      <c r="G56" s="68">
        <f>Dinamica_Pess!G16</f>
        <v>32.167071139343392</v>
      </c>
      <c r="H56" s="68">
        <f>Dinamica_Pess!H16</f>
        <v>43.475075887061394</v>
      </c>
      <c r="I56" s="68">
        <f>Dinamica_Pess!I16</f>
        <v>56.178199500219442</v>
      </c>
      <c r="J56" s="68">
        <f>Dinamica_Pess!J16</f>
        <v>69.61804217437907</v>
      </c>
      <c r="K56" s="68">
        <f>Dinamica_Pess!K16</f>
        <v>83.816920502801779</v>
      </c>
      <c r="L56" s="68">
        <f>Dinamica_Pess!L16</f>
        <v>98.797743518435382</v>
      </c>
      <c r="M56" s="68">
        <f>Dinamica_Pess!M16</f>
        <v>114.58402774808033</v>
      </c>
      <c r="N56" s="68">
        <f>Dinamica_Pess!N16</f>
        <v>137.69687515186317</v>
      </c>
      <c r="O56" s="68">
        <f>Dinamica_Pess!O16</f>
        <v>161.99728913489795</v>
      </c>
      <c r="P56" s="68">
        <f>Dinamica_Pess!P16</f>
        <v>187.51978866544022</v>
      </c>
      <c r="Q56" s="68">
        <f>Dinamica_Pess!Q16</f>
        <v>214.29980364827853</v>
      </c>
      <c r="R56" s="68">
        <f>Dinamica_Pess!R16</f>
        <v>242.37369798248625</v>
      </c>
      <c r="S56" s="68">
        <f>Dinamica_Pess!S16</f>
        <v>274.86264319763427</v>
      </c>
      <c r="T56" s="68">
        <f>Dinamica_Pess!T16</f>
        <v>309.26240527893725</v>
      </c>
      <c r="U56" s="68">
        <f>Dinamica_Pess!U16</f>
        <v>345.61991599537828</v>
      </c>
      <c r="V56" s="68">
        <f>Dinamica_Pess!V16</f>
        <v>383.98334165921403</v>
      </c>
      <c r="W56" s="68">
        <f>Dinamica_Pess!W16</f>
        <v>424.40211379894856</v>
      </c>
      <c r="X56" s="68">
        <f>Dinamica_Pess!X16</f>
        <v>479.28710505316656</v>
      </c>
      <c r="Y56" s="68">
        <f>Dinamica_Pess!Y16</f>
        <v>536.43152745912005</v>
      </c>
      <c r="Z56" s="68">
        <f>Dinamica_Pess!Z16</f>
        <v>595.8940138295909</v>
      </c>
      <c r="AA56" s="68">
        <f>Dinamica_Pess!AA16</f>
        <v>657.73472096182991</v>
      </c>
      <c r="AB56" s="68">
        <f>Dinamica_Pess!AB16</f>
        <v>722.01536776249998</v>
      </c>
      <c r="AC56" s="68">
        <f>Dinamica_Pess!AC16</f>
        <v>788.79927432809734</v>
      </c>
      <c r="AD56" s="68">
        <f>Dinamica_Pess!AD16</f>
        <v>858.15140200473547</v>
      </c>
      <c r="AE56" s="68">
        <f>Dinamica_Pess!AE16</f>
        <v>930.13839445177871</v>
      </c>
      <c r="AF56" s="68">
        <f>Dinamica_Pess!AF16</f>
        <v>1004.8286197344195</v>
      </c>
      <c r="AG56" s="68">
        <f>Dinamica_Pess!AG16</f>
        <v>1082.2922134709236</v>
      </c>
      <c r="AH56" s="68">
        <f>Dinamica_Pess!AH16</f>
        <v>1161.858255327772</v>
      </c>
      <c r="AI56" s="68">
        <f>Dinamica_Pess!AI16</f>
        <v>1243.5786155412743</v>
      </c>
      <c r="AJ56" s="68">
        <f>Dinamica_Pess!AJ16</f>
        <v>1327.5064638654383</v>
      </c>
      <c r="AK56" s="68">
        <f>Dinamica_Pess!AK16</f>
        <v>1413.6963019383006</v>
      </c>
    </row>
    <row r="57" spans="1:37" s="89" customFormat="1" ht="15" customHeight="1" x14ac:dyDescent="0.2">
      <c r="A57" s="49" t="s">
        <v>588</v>
      </c>
      <c r="B57" s="48" t="s">
        <v>523</v>
      </c>
      <c r="C57" s="48" t="s">
        <v>474</v>
      </c>
      <c r="D57" s="67">
        <f>Dinamica!D39</f>
        <v>9.2515500000000017</v>
      </c>
      <c r="E57" s="67">
        <f>Dinamica!E39</f>
        <v>20.256538482576005</v>
      </c>
      <c r="F57" s="67">
        <f>Dinamica!F39</f>
        <v>33.065058641039542</v>
      </c>
      <c r="G57" s="67">
        <f>Dinamica!G39</f>
        <v>47.728582716299627</v>
      </c>
      <c r="H57" s="67">
        <f>Dinamica!H39</f>
        <v>64.299997275567108</v>
      </c>
      <c r="I57" s="67">
        <f>Dinamica!I39</f>
        <v>82.833639381032782</v>
      </c>
      <c r="J57" s="67">
        <f>Dinamica!J39</f>
        <v>102.31532241945928</v>
      </c>
      <c r="K57" s="67">
        <f>Dinamica!K39</f>
        <v>122.77115619149728</v>
      </c>
      <c r="L57" s="67">
        <f>Dinamica!L39</f>
        <v>144.22794483685138</v>
      </c>
      <c r="M57" s="67">
        <f>Dinamica!M39</f>
        <v>166.71320446376888</v>
      </c>
      <c r="N57" s="67">
        <f>Dinamica!N39</f>
        <v>196.88325869175748</v>
      </c>
      <c r="O57" s="67">
        <f>Dinamica!O39</f>
        <v>228.49254110788746</v>
      </c>
      <c r="P57" s="67">
        <f>Dinamica!P39</f>
        <v>261.5811511103293</v>
      </c>
      <c r="Q57" s="67">
        <f>Dinamica!Q39</f>
        <v>296.19025288044804</v>
      </c>
      <c r="R57" s="67">
        <f>Dinamica!R39</f>
        <v>332.36210244598226</v>
      </c>
      <c r="S57" s="67">
        <f>Dinamica!S39</f>
        <v>370.1400754249824</v>
      </c>
      <c r="T57" s="67">
        <f>Dinamica!T39</f>
        <v>409.59953396756168</v>
      </c>
      <c r="U57" s="67">
        <f>Dinamica!U39</f>
        <v>450.79212650287946</v>
      </c>
      <c r="V57" s="67">
        <f>Dinamica!V39</f>
        <v>493.77089534205629</v>
      </c>
      <c r="W57" s="67">
        <f>Dinamica!W39</f>
        <v>538.59031253949195</v>
      </c>
      <c r="X57" s="67">
        <f>Dinamica!X39</f>
        <v>589.59433586901764</v>
      </c>
      <c r="Y57" s="67">
        <f>Dinamica!Y39</f>
        <v>642.84719746605288</v>
      </c>
      <c r="Z57" s="67">
        <f>Dinamica!Z39</f>
        <v>698.41457330275273</v>
      </c>
      <c r="AA57" s="67">
        <f>Dinamica!AA39</f>
        <v>756.36388971453573</v>
      </c>
      <c r="AB57" s="67">
        <f>Dinamica!AB39</f>
        <v>816.76436812845532</v>
      </c>
      <c r="AC57" s="67">
        <f>Dinamica!AC39</f>
        <v>879.68707091834767</v>
      </c>
      <c r="AD57" s="67">
        <f>Dinamica!AD39</f>
        <v>945.20494841499612</v>
      </c>
      <c r="AE57" s="67">
        <f>Dinamica!AE39</f>
        <v>1013.3928871002599</v>
      </c>
      <c r="AF57" s="67">
        <f>Dinamica!AF39</f>
        <v>1084.3277590148377</v>
      </c>
      <c r="AG57" s="67">
        <f>Dinamica!AG39</f>
        <v>1158.0884724100827</v>
      </c>
      <c r="AH57" s="67">
        <f>Dinamica!AH39</f>
        <v>1233.9672668305636</v>
      </c>
      <c r="AI57" s="67">
        <f>Dinamica!AI39</f>
        <v>1312.0208286435907</v>
      </c>
      <c r="AJ57" s="67">
        <f>Dinamica!AJ39</f>
        <v>1392.307288554317</v>
      </c>
      <c r="AK57" s="67">
        <f>Dinamica!AK39</f>
        <v>1474.8862579973588</v>
      </c>
    </row>
    <row r="58" spans="1:37" x14ac:dyDescent="0.2">
      <c r="A58" s="53" t="s">
        <v>588</v>
      </c>
      <c r="B58" s="52" t="s">
        <v>523</v>
      </c>
      <c r="C58" s="52" t="s">
        <v>475</v>
      </c>
      <c r="D58" s="68">
        <f>Dinamica_Pess!D39</f>
        <v>9.2515500000000017</v>
      </c>
      <c r="E58" s="68">
        <f>Dinamica_Pess!E39</f>
        <v>20.234972538000005</v>
      </c>
      <c r="F58" s="68">
        <f>Dinamica_Pess!F39</f>
        <v>32.993697625740005</v>
      </c>
      <c r="G58" s="68">
        <f>Dinamica_Pess!G39</f>
        <v>47.572337668787092</v>
      </c>
      <c r="H58" s="68">
        <f>Dinamica_Pess!H39</f>
        <v>64.016716902151472</v>
      </c>
      <c r="I58" s="68">
        <f>Dinamica_Pess!I39</f>
        <v>82.373901565687106</v>
      </c>
      <c r="J58" s="68">
        <f>Dinamica_Pess!J39</f>
        <v>101.6349703176828</v>
      </c>
      <c r="K58" s="68">
        <f>Dinamica_Pess!K39</f>
        <v>121.82293532206235</v>
      </c>
      <c r="L58" s="68">
        <f>Dinamica_Pess!L39</f>
        <v>142.96141322808327</v>
      </c>
      <c r="M58" s="68">
        <f>Dinamica_Pess!M39</f>
        <v>165.07464025574791</v>
      </c>
      <c r="N58" s="68">
        <f>Dinamica_Pess!N39</f>
        <v>194.68445016701935</v>
      </c>
      <c r="O58" s="68">
        <f>Dinamica_Pess!O39</f>
        <v>225.65259030972442</v>
      </c>
      <c r="P58" s="68">
        <f>Dinamica_Pess!P39</f>
        <v>258.0143357684492</v>
      </c>
      <c r="Q58" s="68">
        <f>Dinamica_Pess!Q39</f>
        <v>291.80588477117323</v>
      </c>
      <c r="R58" s="68">
        <f>Dinamica_Pess!R39</f>
        <v>327.06438178076672</v>
      </c>
      <c r="S58" s="68">
        <f>Dinamica_Pess!S39</f>
        <v>363.82794116545199</v>
      </c>
      <c r="T58" s="68">
        <f>Dinamica_Pess!T39</f>
        <v>402.16650996270329</v>
      </c>
      <c r="U58" s="68">
        <f>Dinamica_Pess!U39</f>
        <v>442.12609145488136</v>
      </c>
      <c r="V58" s="68">
        <f>Dinamica_Pess!V39</f>
        <v>483.75389781381176</v>
      </c>
      <c r="W58" s="68">
        <f>Dinamica_Pess!W39</f>
        <v>527.09838072466289</v>
      </c>
      <c r="X58" s="68">
        <f>Dinamica_Pess!X39</f>
        <v>576.32931092850322</v>
      </c>
      <c r="Y58" s="68">
        <f>Dinamica_Pess!Y39</f>
        <v>627.65250725662065</v>
      </c>
      <c r="Z58" s="68">
        <f>Dinamica_Pess!Z39</f>
        <v>681.12590695113465</v>
      </c>
      <c r="AA58" s="68">
        <f>Dinamica_Pess!AA39</f>
        <v>736.80895919298632</v>
      </c>
      <c r="AB58" s="68">
        <f>Dinamica_Pess!AB39</f>
        <v>794.76266319563672</v>
      </c>
      <c r="AC58" s="68">
        <f>Dinamica_Pess!AC39</f>
        <v>855.04960725374553</v>
      </c>
      <c r="AD58" s="68">
        <f>Dinamica_Pess!AD39</f>
        <v>917.73400877071333</v>
      </c>
      <c r="AE58" s="68">
        <f>Dinamica_Pess!AE39</f>
        <v>982.88175528957413</v>
      </c>
      <c r="AF58" s="68">
        <f>Dinamica_Pess!AF39</f>
        <v>1050.560446552329</v>
      </c>
      <c r="AG58" s="68">
        <f>Dinamica_Pess!AG39</f>
        <v>1120.8394376134474</v>
      </c>
      <c r="AH58" s="68">
        <f>Dinamica_Pess!AH39</f>
        <v>1193.0470153007586</v>
      </c>
      <c r="AI58" s="68">
        <f>Dinamica_Pess!AI39</f>
        <v>1267.2342447023127</v>
      </c>
      <c r="AJ58" s="68">
        <f>Dinamica_Pess!AJ39</f>
        <v>1343.4534780789895</v>
      </c>
      <c r="AK58" s="68">
        <f>Dinamica_Pess!AK39</f>
        <v>1421.7583871950635</v>
      </c>
    </row>
    <row r="59" spans="1:37" ht="20.75" customHeight="1" x14ac:dyDescent="0.2">
      <c r="A59" s="49" t="s">
        <v>589</v>
      </c>
      <c r="B59" s="48" t="s">
        <v>502</v>
      </c>
      <c r="C59" s="48" t="s">
        <v>474</v>
      </c>
      <c r="D59" s="56">
        <f>Dinamica!D39/Modello!F5</f>
        <v>4.1356951274027724E-3</v>
      </c>
      <c r="E59" s="56">
        <f>Dinamica!E39/Modello!F6</f>
        <v>8.9833582048023507E-3</v>
      </c>
      <c r="F59" s="56">
        <f>Dinamica!F39/Modello!F7</f>
        <v>1.4547295103948844E-2</v>
      </c>
      <c r="G59" s="56">
        <f>Dinamica!G39/Modello!F8</f>
        <v>2.0831999569278274E-2</v>
      </c>
      <c r="H59" s="56">
        <f>Dinamica!H39/Modello!F9</f>
        <v>2.7842154685064686E-2</v>
      </c>
      <c r="I59" s="56">
        <f>Dinamica!I39/Modello!F10</f>
        <v>3.5582634391302242E-2</v>
      </c>
      <c r="J59" s="56">
        <f>Dinamica!J39/Modello!F11</f>
        <v>4.3602511007426216E-2</v>
      </c>
      <c r="K59" s="56">
        <f>Dinamica!K39/Modello!F12</f>
        <v>5.1904694228123785E-2</v>
      </c>
      <c r="L59" s="56">
        <f>Dinamica!L39/Modello!F13</f>
        <v>6.0492171416231907E-2</v>
      </c>
      <c r="M59" s="56">
        <f>Dinamica!M39/Modello!F14</f>
        <v>6.9368008472240991E-2</v>
      </c>
      <c r="N59" s="56">
        <f>Dinamica!N39/Modello!F15</f>
        <v>8.1271351843883677E-2</v>
      </c>
      <c r="O59" s="56">
        <f>Dinamica!O39/Modello!F16</f>
        <v>9.3570767184588038E-2</v>
      </c>
      <c r="P59" s="56">
        <f>Dinamica!P39/Modello!F17</f>
        <v>0.10627083113814495</v>
      </c>
      <c r="Q59" s="56">
        <f>Dinamica!Q39/Modello!F18</f>
        <v>0.11937623044275246</v>
      </c>
      <c r="R59" s="56">
        <f>Dinamica!R39/Modello!F19</f>
        <v>0.13289176328209132</v>
      </c>
      <c r="S59" s="56">
        <f>Dinamica!S39/Modello!F20</f>
        <v>0.14682234066648311</v>
      </c>
      <c r="T59" s="56">
        <f>Dinamica!T39/Modello!F21</f>
        <v>0.16118512337452617</v>
      </c>
      <c r="U59" s="56">
        <f>Dinamica!U39/Modello!F22</f>
        <v>0.17598728530772759</v>
      </c>
      <c r="V59" s="56">
        <f>Dinamica!V39/Modello!F23</f>
        <v>0.19123612074529972</v>
      </c>
      <c r="W59" s="56">
        <f>Dinamica!W39/Modello!F24</f>
        <v>0.20693904638616573</v>
      </c>
      <c r="X59" s="56">
        <f>Dinamica!X39/Modello!F25</f>
        <v>0.22473808525092123</v>
      </c>
      <c r="Y59" s="56">
        <f>Dinamica!Y39/Modello!F26</f>
        <v>0.24309196069736774</v>
      </c>
      <c r="Z59" s="56">
        <f>Dinamica!Z39/Modello!F27</f>
        <v>0.2620086336857087</v>
      </c>
      <c r="AA59" s="56">
        <f>Dinamica!AA39/Modello!F28</f>
        <v>0.28149621777934497</v>
      </c>
      <c r="AB59" s="56">
        <f>Dinamica!AB39/Modello!F29</f>
        <v>0.30156298145592181</v>
      </c>
      <c r="AC59" s="56">
        <f>Dinamica!AC39/Modello!F30</f>
        <v>0.32221735046083683</v>
      </c>
      <c r="AD59" s="56">
        <f>Dinamica!AD39/Modello!F31</f>
        <v>0.34346791020388134</v>
      </c>
      <c r="AE59" s="56">
        <f>Dinamica!AE39/Modello!F32</f>
        <v>0.36532340819969861</v>
      </c>
      <c r="AF59" s="56">
        <f>Dinamica!AF39/Modello!F33</f>
        <v>0.38779275655275575</v>
      </c>
      <c r="AG59" s="56">
        <f>Dinamica!AG39/Modello!F34</f>
        <v>0.41088503448753866</v>
      </c>
      <c r="AH59" s="56">
        <f>Dinamica!AH39/Modello!F35</f>
        <v>0.4343318642485931</v>
      </c>
      <c r="AI59" s="56">
        <f>Dinamica!AI39/Modello!F36</f>
        <v>0.45814004076330944</v>
      </c>
      <c r="AJ59" s="56">
        <f>Dinamica!AJ39/Modello!F37</f>
        <v>0.48231646187789129</v>
      </c>
      <c r="AK59" s="56">
        <f>Dinamica!AK39/Modello!F38</f>
        <v>0.50686813025710475</v>
      </c>
    </row>
    <row r="60" spans="1:37" ht="15" customHeight="1" x14ac:dyDescent="0.2">
      <c r="A60" s="53" t="s">
        <v>589</v>
      </c>
      <c r="B60" s="52" t="s">
        <v>502</v>
      </c>
      <c r="C60" s="52" t="s">
        <v>475</v>
      </c>
      <c r="D60" s="54">
        <f>Dinamica_Pess!D39/Modello_Pess!F5</f>
        <v>4.1356951274027724E-3</v>
      </c>
      <c r="E60" s="54">
        <f>Dinamica_Pess!E39/Modello_Pess!F6</f>
        <v>9.0185289183856588E-3</v>
      </c>
      <c r="F60" s="54">
        <f>Dinamica_Pess!F39/Modello_Pess!F7</f>
        <v>1.466098467582326E-2</v>
      </c>
      <c r="G60" s="54">
        <f>Dinamica_Pess!G39/Modello_Pess!F8</f>
        <v>2.10758796374741E-2</v>
      </c>
      <c r="H60" s="54">
        <f>Dinamica_Pess!H39/Modello_Pess!F9</f>
        <v>2.8276371665373223E-2</v>
      </c>
      <c r="I60" s="54">
        <f>Dinamica_Pess!I39/Modello_Pess!F10</f>
        <v>3.6275966088568028E-2</v>
      </c>
      <c r="J60" s="54">
        <f>Dinamica_Pess!J39/Modello_Pess!F11</f>
        <v>4.4624317040847711E-2</v>
      </c>
      <c r="K60" s="54">
        <f>Dinamica_Pess!K39/Modello_Pess!F12</f>
        <v>5.3328153251764022E-2</v>
      </c>
      <c r="L60" s="54">
        <f>Dinamica_Pess!L39/Modello_Pess!F13</f>
        <v>6.2394367191568607E-2</v>
      </c>
      <c r="M60" s="54">
        <f>Dinamica_Pess!M39/Modello_Pess!F14</f>
        <v>7.1830018488165059E-2</v>
      </c>
      <c r="N60" s="54">
        <f>Dinamica_Pess!N39/Modello_Pess!F15</f>
        <v>8.4460947796312816E-2</v>
      </c>
      <c r="O60" s="54">
        <f>Dinamica_Pess!O39/Modello_Pess!F16</f>
        <v>9.7603204341361452E-2</v>
      </c>
      <c r="P60" s="54">
        <f>Dinamica_Pess!P39/Modello_Pess!F17</f>
        <v>0.11126707118256829</v>
      </c>
      <c r="Q60" s="54">
        <f>Dinamica_Pess!Q39/Modello_Pess!F18</f>
        <v>0.12546307645623062</v>
      </c>
      <c r="R60" s="54">
        <f>Dinamica_Pess!R39/Modello_Pess!F19</f>
        <v>0.14020199854726642</v>
      </c>
      <c r="S60" s="54">
        <f>Dinamica_Pess!S39/Modello_Pess!F20</f>
        <v>0.15549487137640344</v>
      </c>
      <c r="T60" s="54">
        <f>Dinamica_Pess!T39/Modello_Pess!F21</f>
        <v>0.17136613031888207</v>
      </c>
      <c r="U60" s="54">
        <f>Dinamica_Pess!U39/Modello_Pess!F22</f>
        <v>0.18782971498500009</v>
      </c>
      <c r="V60" s="54">
        <f>Dinamica_Pess!V39/Modello_Pess!F23</f>
        <v>0.20489987755560049</v>
      </c>
      <c r="W60" s="54">
        <f>Dinamica_Pess!W39/Modello_Pess!F24</f>
        <v>0.22259118963186586</v>
      </c>
      <c r="X60" s="54">
        <f>Dinamica_Pess!X39/Modello_Pess!F25</f>
        <v>0.24265322234857675</v>
      </c>
      <c r="Y60" s="54">
        <f>Dinamica_Pess!Y39/Modello_Pess!F26</f>
        <v>0.26347152821955933</v>
      </c>
      <c r="Z60" s="54">
        <f>Dinamica_Pess!Z39/Modello_Pess!F27</f>
        <v>0.28506302449143428</v>
      </c>
      <c r="AA60" s="54">
        <f>Dinamica_Pess!AA39/Modello_Pess!F28</f>
        <v>0.30744501413113751</v>
      </c>
      <c r="AB60" s="54">
        <f>Dinamica_Pess!AB39/Modello_Pess!F29</f>
        <v>0.33063519418116005</v>
      </c>
      <c r="AC60" s="54">
        <f>Dinamica_Pess!AC39/Modello_Pess!F30</f>
        <v>0.35465166429919265</v>
      </c>
      <c r="AD60" s="54">
        <f>Dinamica_Pess!AD39/Modello_Pess!F31</f>
        <v>0.37951293548620751</v>
      </c>
      <c r="AE60" s="54">
        <f>Dinamica_Pess!AE39/Modello_Pess!F32</f>
        <v>0.40523793900710214</v>
      </c>
      <c r="AF60" s="54">
        <f>Dinamica_Pess!AF39/Modello_Pess!F33</f>
        <v>0.43184603550811673</v>
      </c>
      <c r="AG60" s="54">
        <f>Dinamica_Pess!AG39/Modello_Pess!F34</f>
        <v>0.45935702433533299</v>
      </c>
      <c r="AH60" s="54">
        <f>Dinamica_Pess!AH39/Modello_Pess!F35</f>
        <v>0.48748761194704837</v>
      </c>
      <c r="AI60" s="54">
        <f>Dinamica_Pess!AI39/Modello_Pess!F36</f>
        <v>0.51625229187158728</v>
      </c>
      <c r="AJ60" s="54">
        <f>Dinamica_Pess!AJ39/Modello_Pess!F37</f>
        <v>0.54566587080404139</v>
      </c>
      <c r="AK60" s="54">
        <f>Dinamica_Pess!AK39/Modello_Pess!F38</f>
        <v>0.5757434755416021</v>
      </c>
    </row>
    <row r="61" spans="1:37" ht="15" customHeight="1" x14ac:dyDescent="0.2">
      <c r="A61" s="49" t="s">
        <v>590</v>
      </c>
      <c r="B61" s="48" t="s">
        <v>502</v>
      </c>
      <c r="C61" s="48" t="s">
        <v>474</v>
      </c>
      <c r="D61" s="51">
        <f>Modello!Z5/Modello!F5</f>
        <v>1.3785650424675906E-3</v>
      </c>
      <c r="E61" s="51">
        <f>Modello!Z6/Modello!F6</f>
        <v>1.5971968304489435E-3</v>
      </c>
      <c r="F61" s="51">
        <f>Modello!Z7/Modello!F7</f>
        <v>1.8139482518727463E-3</v>
      </c>
      <c r="G61" s="51">
        <f>Modello!Z8/Modello!F8</f>
        <v>2.0288460556760384E-3</v>
      </c>
      <c r="H61" s="51">
        <f>Modello!Z9/Modello!F9</f>
        <v>2.2419166047505778E-3</v>
      </c>
      <c r="I61" s="51">
        <f>Modello!Z10/Modello!F10</f>
        <v>2.4531858812246563E-3</v>
      </c>
      <c r="J61" s="51">
        <f>Modello!Z11/Modello!F11</f>
        <v>2.5106814778796016E-3</v>
      </c>
      <c r="K61" s="51">
        <f>Modello!Z12/Modello!F12</f>
        <v>2.5677038970431379E-3</v>
      </c>
      <c r="L61" s="51">
        <f>Modello!Z13/Modello!F13</f>
        <v>2.6242600931858954E-3</v>
      </c>
      <c r="M61" s="51">
        <f>Modello!Z14/Modello!F14</f>
        <v>2.6803569174405151E-3</v>
      </c>
      <c r="N61" s="51">
        <f>Modello!Z15/Modello!F15</f>
        <v>2.7360011190415007E-3</v>
      </c>
      <c r="O61" s="51">
        <f>Modello!Z16/Modello!F16</f>
        <v>2.7911993467459257E-3</v>
      </c>
      <c r="P61" s="51">
        <f>Modello!Z17/Modello!F17</f>
        <v>2.8459581502352491E-3</v>
      </c>
      <c r="Q61" s="51">
        <f>Modello!Z18/Modello!F18</f>
        <v>2.9002839814984719E-3</v>
      </c>
      <c r="R61" s="51">
        <f>Modello!Z19/Modello!F19</f>
        <v>2.9541831961968929E-3</v>
      </c>
      <c r="S61" s="51">
        <f>Modello!Z20/Modello!F20</f>
        <v>3.0076620550106821E-3</v>
      </c>
      <c r="T61" s="51">
        <f>Modello!Z21/Modello!F21</f>
        <v>3.0607267249675141E-3</v>
      </c>
      <c r="U61" s="51">
        <f>Modello!Z22/Modello!F22</f>
        <v>3.1133832807534981E-3</v>
      </c>
      <c r="V61" s="51">
        <f>Modello!Z23/Modello!F23</f>
        <v>3.1656377060066201E-3</v>
      </c>
      <c r="W61" s="51">
        <f>Modello!Z24/Modello!F24</f>
        <v>3.2174958945929417E-3</v>
      </c>
      <c r="X61" s="51">
        <f>Modello!Z25/Modello!F25</f>
        <v>0</v>
      </c>
      <c r="Y61" s="51">
        <f>Modello!Z26/Modello!F26</f>
        <v>0</v>
      </c>
      <c r="Z61" s="51">
        <f>Modello!Z27/Modello!F27</f>
        <v>0</v>
      </c>
      <c r="AA61" s="51">
        <f>Modello!Z28/Modello!F28</f>
        <v>0</v>
      </c>
      <c r="AB61" s="51">
        <f>Modello!Z29/Modello!F29</f>
        <v>0</v>
      </c>
      <c r="AC61" s="51">
        <f>Modello!Z30/Modello!F30</f>
        <v>0</v>
      </c>
      <c r="AD61" s="51">
        <f>Modello!Z31/Modello!F31</f>
        <v>0</v>
      </c>
      <c r="AE61" s="51">
        <f>Modello!Z32/Modello!F32</f>
        <v>0</v>
      </c>
      <c r="AF61" s="51">
        <f>Modello!Z33/Modello!F33</f>
        <v>0</v>
      </c>
      <c r="AG61" s="51">
        <f>Modello!Z34/Modello!F34</f>
        <v>0</v>
      </c>
      <c r="AH61" s="51">
        <f>Modello!Z35/Modello!F35</f>
        <v>0</v>
      </c>
      <c r="AI61" s="51">
        <f>Modello!Z36/Modello!F36</f>
        <v>0</v>
      </c>
      <c r="AJ61" s="51">
        <f>Modello!Z37/Modello!F37</f>
        <v>0</v>
      </c>
      <c r="AK61" s="51">
        <f>Modello!Z38/Modello!F38</f>
        <v>0</v>
      </c>
    </row>
    <row r="62" spans="1:37" ht="15" customHeight="1" x14ac:dyDescent="0.2">
      <c r="A62" s="53" t="s">
        <v>590</v>
      </c>
      <c r="B62" s="52" t="s">
        <v>502</v>
      </c>
      <c r="C62" s="52" t="s">
        <v>475</v>
      </c>
      <c r="D62" s="66">
        <f>Modello_Pess!Z5/Modello_Pess!F5</f>
        <v>1.3785650424675906E-3</v>
      </c>
      <c r="E62" s="66">
        <f>Modello_Pess!Z6/Modello_Pess!F6</f>
        <v>1.6019550182710702E-3</v>
      </c>
      <c r="F62" s="66">
        <f>Modello_Pess!Z7/Modello_Pess!F7</f>
        <v>1.824772168780756E-3</v>
      </c>
      <c r="G62" s="66">
        <f>Modello_Pess!Z8/Modello_Pess!F8</f>
        <v>2.0470324519387749E-3</v>
      </c>
      <c r="H62" s="66">
        <f>Modello_Pess!Z9/Modello_Pess!F9</f>
        <v>2.2687516792007831E-3</v>
      </c>
      <c r="I62" s="66">
        <f>Modello_Pess!Z10/Modello_Pess!F10</f>
        <v>2.4899455170595891E-3</v>
      </c>
      <c r="J62" s="66">
        <f>Modello_Pess!Z11/Modello_Pess!F11</f>
        <v>2.5558942680048353E-3</v>
      </c>
      <c r="K62" s="66">
        <f>Modello_Pess!Z12/Modello_Pess!F12</f>
        <v>2.6217307213059981E-3</v>
      </c>
      <c r="L62" s="66">
        <f>Modello_Pess!Z13/Modello_Pess!F13</f>
        <v>2.6874593052379847E-3</v>
      </c>
      <c r="M62" s="66">
        <f>Modello_Pess!Z14/Modello_Pess!F14</f>
        <v>2.753084407460896E-3</v>
      </c>
      <c r="N62" s="66">
        <f>Modello_Pess!Z15/Modello_Pess!F15</f>
        <v>2.8186103754502955E-3</v>
      </c>
      <c r="O62" s="66">
        <f>Modello_Pess!Z16/Modello_Pess!F16</f>
        <v>2.8840415169233491E-3</v>
      </c>
      <c r="P62" s="66">
        <f>Modello_Pess!Z17/Modello_Pess!F17</f>
        <v>2.949382100260905E-3</v>
      </c>
      <c r="Q62" s="66">
        <f>Modello_Pess!Z18/Modello_Pess!F18</f>
        <v>3.014636354925518E-3</v>
      </c>
      <c r="R62" s="66">
        <f>Modello_Pess!Z19/Modello_Pess!F19</f>
        <v>3.0798084718754865E-3</v>
      </c>
      <c r="S62" s="66">
        <f>Modello_Pess!Z20/Modello_Pess!F20</f>
        <v>3.1449026039749228E-3</v>
      </c>
      <c r="T62" s="66">
        <f>Modello_Pess!Z21/Modello_Pess!F21</f>
        <v>3.2099228663998928E-3</v>
      </c>
      <c r="U62" s="66">
        <f>Modello_Pess!Z22/Modello_Pess!F22</f>
        <v>3.2748733370406794E-3</v>
      </c>
      <c r="V62" s="66">
        <f>Modello_Pess!Z23/Modello_Pess!F23</f>
        <v>3.3397580569001794E-3</v>
      </c>
      <c r="W62" s="66">
        <f>Modello_Pess!Z24/Modello_Pess!F24</f>
        <v>3.404581030488497E-3</v>
      </c>
      <c r="X62" s="66">
        <f>Modello_Pess!Z25/Modello_Pess!F25</f>
        <v>0</v>
      </c>
      <c r="Y62" s="66">
        <f>Modello_Pess!Z26/Modello_Pess!F26</f>
        <v>0</v>
      </c>
      <c r="Z62" s="66">
        <f>Modello_Pess!Z27/Modello_Pess!F27</f>
        <v>0</v>
      </c>
      <c r="AA62" s="66">
        <f>Modello_Pess!Z28/Modello_Pess!F28</f>
        <v>0</v>
      </c>
      <c r="AB62" s="66">
        <f>Modello_Pess!Z29/Modello_Pess!F29</f>
        <v>0</v>
      </c>
      <c r="AC62" s="66">
        <f>Modello_Pess!Z30/Modello_Pess!F30</f>
        <v>0</v>
      </c>
      <c r="AD62" s="66">
        <f>Modello_Pess!Z31/Modello_Pess!F31</f>
        <v>0</v>
      </c>
      <c r="AE62" s="66">
        <f>Modello_Pess!Z32/Modello_Pess!F32</f>
        <v>0</v>
      </c>
      <c r="AF62" s="66">
        <f>Modello_Pess!Z33/Modello_Pess!F33</f>
        <v>0</v>
      </c>
      <c r="AG62" s="66">
        <f>Modello_Pess!Z34/Modello_Pess!F34</f>
        <v>0</v>
      </c>
      <c r="AH62" s="66">
        <f>Modello_Pess!Z35/Modello_Pess!F35</f>
        <v>0</v>
      </c>
      <c r="AI62" s="66">
        <f>Modello_Pess!Z36/Modello_Pess!F36</f>
        <v>0</v>
      </c>
      <c r="AJ62" s="66">
        <f>Modello_Pess!Z37/Modello_Pess!F37</f>
        <v>0</v>
      </c>
      <c r="AK62" s="66">
        <f>Modello_Pess!Z38/Modello_Pess!F38</f>
        <v>0</v>
      </c>
    </row>
    <row r="63" spans="1:37" x14ac:dyDescent="0.2">
      <c r="A63" s="142"/>
      <c r="B63" s="143"/>
      <c r="C63" s="144"/>
      <c r="D63" s="145"/>
      <c r="E63" s="145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</row>
    <row r="64" spans="1:37" ht="30" customHeight="1" x14ac:dyDescent="0.2">
      <c r="A64" s="57" t="s">
        <v>591</v>
      </c>
      <c r="B64" s="60"/>
      <c r="C64" s="60" t="s">
        <v>592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 spans="1:37" ht="15" customHeight="1" x14ac:dyDescent="0.2">
      <c r="A65" s="61" t="s">
        <v>517</v>
      </c>
      <c r="B65" s="62" t="s">
        <v>4</v>
      </c>
      <c r="C65" s="62" t="s">
        <v>393</v>
      </c>
      <c r="D65" s="62">
        <v>2027</v>
      </c>
      <c r="E65" s="62">
        <v>2028</v>
      </c>
      <c r="F65" s="62">
        <v>2029</v>
      </c>
      <c r="G65" s="62">
        <v>2030</v>
      </c>
      <c r="H65" s="62">
        <v>2031</v>
      </c>
      <c r="I65" s="62">
        <v>2032</v>
      </c>
      <c r="J65" s="62">
        <v>2033</v>
      </c>
      <c r="K65" s="62">
        <v>2034</v>
      </c>
      <c r="L65" s="62">
        <v>2035</v>
      </c>
      <c r="M65" s="62">
        <v>2036</v>
      </c>
      <c r="N65" s="62">
        <v>2037</v>
      </c>
      <c r="O65" s="62">
        <v>2038</v>
      </c>
      <c r="P65" s="62">
        <v>2039</v>
      </c>
      <c r="Q65" s="62">
        <v>2040</v>
      </c>
      <c r="R65" s="62">
        <v>2041</v>
      </c>
      <c r="S65" s="62">
        <v>2042</v>
      </c>
      <c r="T65" s="62">
        <v>2043</v>
      </c>
      <c r="U65" s="62">
        <v>2044</v>
      </c>
      <c r="V65" s="62">
        <v>2045</v>
      </c>
      <c r="W65" s="62">
        <v>2046</v>
      </c>
      <c r="X65" s="62">
        <v>2047</v>
      </c>
      <c r="Y65" s="62">
        <v>2048</v>
      </c>
      <c r="Z65" s="62">
        <v>2049</v>
      </c>
      <c r="AA65" s="62">
        <v>2050</v>
      </c>
      <c r="AB65" s="62">
        <v>2051</v>
      </c>
      <c r="AC65" s="62">
        <v>2052</v>
      </c>
      <c r="AD65" s="62">
        <v>2053</v>
      </c>
      <c r="AE65" s="62">
        <v>2054</v>
      </c>
      <c r="AF65" s="62">
        <v>2055</v>
      </c>
      <c r="AG65" s="62">
        <v>2056</v>
      </c>
      <c r="AH65" s="62">
        <v>2057</v>
      </c>
      <c r="AI65" s="62">
        <v>2058</v>
      </c>
      <c r="AJ65" s="62">
        <v>2059</v>
      </c>
      <c r="AK65" s="62">
        <v>2060</v>
      </c>
    </row>
    <row r="66" spans="1:37" ht="15" customHeight="1" x14ac:dyDescent="0.2">
      <c r="A66" s="49" t="s">
        <v>593</v>
      </c>
      <c r="B66" s="48" t="s">
        <v>594</v>
      </c>
      <c r="C66" s="48" t="s">
        <v>474</v>
      </c>
      <c r="D66" s="67">
        <f>Modello!AB5*(1+Parametri!$B$133)^0</f>
        <v>3.0838500000000004</v>
      </c>
      <c r="E66" s="67">
        <f>Modello!AB6*(1+Parametri!$B$133)^1</f>
        <v>6.8190699990758423</v>
      </c>
      <c r="F66" s="67">
        <f>Modello!AB7*(1+Parametri!$B$133)^2</f>
        <v>11.245006839365438</v>
      </c>
      <c r="G66" s="67">
        <f>Modello!AB8*(1+Parametri!$B$133)^3</f>
        <v>16.402748812106623</v>
      </c>
      <c r="H66" s="67">
        <f>Modello!AB9*(1+Parametri!$B$133)^4</f>
        <v>22.335192545496511</v>
      </c>
      <c r="I66" s="67">
        <f>Modello!AB10*(1+Parametri!$B$133)^5</f>
        <v>29.087112266421045</v>
      </c>
      <c r="J66" s="67">
        <f>Modello!AB11*(1+Parametri!$B$133)^6</f>
        <v>36.303562696403354</v>
      </c>
      <c r="K66" s="67">
        <f>Modello!AB12*(1+Parametri!$B$133)^7</f>
        <v>44.006105884383345</v>
      </c>
      <c r="L66" s="67">
        <f>Modello!AB13*(1+Parametri!$B$133)^8</f>
        <v>52.217148189013081</v>
      </c>
      <c r="M66" s="67">
        <f>Modello!AB14*(1+Parametri!$B$133)^9</f>
        <v>60.959970475675199</v>
      </c>
      <c r="N66" s="67">
        <f>Modello!AB15*(1+Parametri!$B$133)^10</f>
        <v>70.258759336236153</v>
      </c>
      <c r="O66" s="67">
        <f>Modello!AB16*(1+Parametri!$B$133)^11</f>
        <v>80.138639364955296</v>
      </c>
      <c r="P66" s="67">
        <f>Modello!AB17*(1+Parametri!$B$133)^12</f>
        <v>90.625706525036662</v>
      </c>
      <c r="Q66" s="67">
        <f>Modello!AB18*(1+Parametri!$B$133)^13</f>
        <v>101.74706264140734</v>
      </c>
      <c r="R66" s="67">
        <f>Modello!AB19*(1+Parametri!$B$133)^14</f>
        <v>113.5308510564406</v>
      </c>
      <c r="S66" s="67">
        <f>Modello!AB20*(1+Parametri!$B$133)^15</f>
        <v>121.85583741136709</v>
      </c>
      <c r="T66" s="67">
        <f>Modello!AB21*(1+Parametri!$B$133)^16</f>
        <v>130.02615770987853</v>
      </c>
      <c r="U66" s="67">
        <f>Modello!AB22*(1+Parametri!$B$133)^17</f>
        <v>138.02035031696124</v>
      </c>
      <c r="V66" s="67">
        <f>Modello!AB23*(1+Parametri!$B$133)^18</f>
        <v>145.81580638217164</v>
      </c>
      <c r="W66" s="67">
        <f>Modello!AB24*(1+Parametri!$B$133)^19</f>
        <v>153.38872188076593</v>
      </c>
      <c r="X66" s="67">
        <f>Modello!AB25*(1+Parametri!$B$133)^20</f>
        <v>147.97050591262979</v>
      </c>
      <c r="Y66" s="67">
        <f>Modello!AB26*(1+Parametri!$B$133)^21</f>
        <v>142.00047235113672</v>
      </c>
      <c r="Z66" s="67">
        <f>Modello!AB27*(1+Parametri!$B$133)^22</f>
        <v>135.45106910891207</v>
      </c>
      <c r="AA66" s="67">
        <f>Modello!AB28*(1+Parametri!$B$133)^23</f>
        <v>128.29363712070375</v>
      </c>
      <c r="AB66" s="67">
        <f>Modello!AB29*(1+Parametri!$B$133)^24</f>
        <v>120.49837028920815</v>
      </c>
      <c r="AC66" s="67">
        <f>Modello!AB30*(1+Parametri!$B$133)^25</f>
        <v>112.03427406616994</v>
      </c>
      <c r="AD66" s="67">
        <f>Modello!AB31*(1+Parametri!$B$133)^26</f>
        <v>102.86912262401083</v>
      </c>
      <c r="AE66" s="67">
        <f>Modello!AB32*(1+Parametri!$B$133)^27</f>
        <v>92.96941457181218</v>
      </c>
      <c r="AF66" s="67">
        <f>Modello!AB33*(1+Parametri!$B$133)^28</f>
        <v>82.300327168003747</v>
      </c>
      <c r="AG66" s="67">
        <f>Modello!AB34*(1+Parametri!$B$133)^29</f>
        <v>70.825668980590933</v>
      </c>
      <c r="AH66" s="67">
        <f>Modello!AB35*(1+Parametri!$B$133)^30</f>
        <v>58.507830944186743</v>
      </c>
      <c r="AI66" s="67">
        <f>Modello!AB36*(1+Parametri!$B$133)^31</f>
        <v>45.30773576149781</v>
      </c>
      <c r="AJ66" s="67">
        <f>Modello!AB37*(1+Parametri!$B$133)^32</f>
        <v>31.184785595248105</v>
      </c>
      <c r="AK66" s="67">
        <f>Modello!AB38*(1+Parametri!$B$133)^33</f>
        <v>16.096807994804877</v>
      </c>
    </row>
    <row r="67" spans="1:37" ht="15" customHeight="1" x14ac:dyDescent="0.2">
      <c r="A67" s="53" t="s">
        <v>593</v>
      </c>
      <c r="B67" s="52" t="s">
        <v>594</v>
      </c>
      <c r="C67" s="52" t="s">
        <v>475</v>
      </c>
      <c r="D67" s="68">
        <f>Modello_Pess!AB5*(1+Parametri!$B$133)^0</f>
        <v>3.0838500000000004</v>
      </c>
      <c r="E67" s="68">
        <f>Modello_Pess!AB6*(1+Parametri!$B$133)^1</f>
        <v>6.8117375779200016</v>
      </c>
      <c r="F67" s="68">
        <f>Modello_Pess!AB7*(1+Parametri!$B$133)^2</f>
        <v>11.220420885767101</v>
      </c>
      <c r="G67" s="68">
        <f>Modello_Pess!AB8*(1+Parametri!$B$133)^3</f>
        <v>16.348192083177889</v>
      </c>
      <c r="H67" s="68">
        <f>Modello_Pess!AB9*(1+Parametri!$B$133)^4</f>
        <v>22.23493285390855</v>
      </c>
      <c r="I67" s="68">
        <f>Modello_Pess!AB10*(1+Parametri!$B$133)^5</f>
        <v>28.922171776829437</v>
      </c>
      <c r="J67" s="68">
        <f>Modello_Pess!AB11*(1+Parametri!$B$133)^6</f>
        <v>36.05626125526458</v>
      </c>
      <c r="K67" s="68">
        <f>Modello_Pess!AB12*(1+Parametri!$B$133)^7</f>
        <v>43.65696450735075</v>
      </c>
      <c r="L67" s="68">
        <f>Modello_Pess!AB13*(1+Parametri!$B$133)^8</f>
        <v>51.744777914794561</v>
      </c>
      <c r="M67" s="68">
        <f>Modello_Pess!AB14*(1+Parametri!$B$133)^9</f>
        <v>60.340955793102218</v>
      </c>
      <c r="N67" s="68">
        <f>Modello_Pess!AB15*(1+Parametri!$B$133)^10</f>
        <v>69.467535952508015</v>
      </c>
      <c r="O67" s="68">
        <f>Modello_Pess!AB16*(1+Parametri!$B$133)^11</f>
        <v>79.147366073903157</v>
      </c>
      <c r="P67" s="68">
        <f>Modello_Pess!AB17*(1+Parametri!$B$133)^12</f>
        <v>89.404130924793975</v>
      </c>
      <c r="Q67" s="68">
        <f>Modello_Pess!AB18*(1+Parametri!$B$133)^13</f>
        <v>100.26238044106638</v>
      </c>
      <c r="R67" s="68">
        <f>Modello_Pess!AB19*(1+Parametri!$B$133)^14</f>
        <v>111.74755870110394</v>
      </c>
      <c r="S67" s="68">
        <f>Modello_Pess!AB20*(1+Parametri!$B$133)^15</f>
        <v>119.73557774445784</v>
      </c>
      <c r="T67" s="68">
        <f>Modello_Pess!AB21*(1+Parametri!$B$133)^16</f>
        <v>127.53742685411576</v>
      </c>
      <c r="U67" s="68">
        <f>Modello_Pess!AB22*(1+Parametri!$B$133)^17</f>
        <v>135.13194408624767</v>
      </c>
      <c r="V67" s="68">
        <f>Modello_Pess!AB23*(1+Parametri!$B$133)^18</f>
        <v>142.49692244640201</v>
      </c>
      <c r="W67" s="68">
        <f>Modello_Pess!AB24*(1+Parametri!$B$133)^19</f>
        <v>149.60906903427755</v>
      </c>
      <c r="X67" s="68">
        <f>Modello_Pess!AB25*(1+Parametri!$B$133)^20</f>
        <v>144.19961312045191</v>
      </c>
      <c r="Y67" s="68">
        <f>Modello_Pess!AB26*(1+Parametri!$B$133)^21</f>
        <v>138.26056893646393</v>
      </c>
      <c r="Z67" s="68">
        <f>Modello_Pess!AB27*(1+Parametri!$B$133)^22</f>
        <v>131.76677406764924</v>
      </c>
      <c r="AA67" s="68">
        <f>Modello_Pess!AB28*(1+Parametri!$B$133)^23</f>
        <v>124.69210808320588</v>
      </c>
      <c r="AB67" s="68">
        <f>Modello_Pess!AB29*(1+Parametri!$B$133)^24</f>
        <v>117.00945977323613</v>
      </c>
      <c r="AC67" s="68">
        <f>Modello_Pess!AB30*(1+Parametri!$B$133)^25</f>
        <v>108.69069333310244</v>
      </c>
      <c r="AD67" s="68">
        <f>Modello_Pess!AB31*(1+Parametri!$B$133)^26</f>
        <v>99.706613462620041</v>
      </c>
      <c r="AE67" s="68">
        <f>Modello_Pess!AB32*(1+Parametri!$B$133)^27</f>
        <v>90.026929346634986</v>
      </c>
      <c r="AF67" s="68">
        <f>Modello_Pess!AB33*(1+Parametri!$B$133)^28</f>
        <v>79.62021748253467</v>
      </c>
      <c r="AG67" s="68">
        <f>Modello_Pess!AB34*(1+Parametri!$B$133)^29</f>
        <v>68.453883319204991</v>
      </c>
      <c r="AH67" s="68">
        <f>Modello_Pess!AB35*(1+Parametri!$B$133)^30</f>
        <v>56.494121670888376</v>
      </c>
      <c r="AI67" s="68">
        <f>Modello_Pess!AB36*(1+Parametri!$B$133)^31</f>
        <v>43.705875868301867</v>
      </c>
      <c r="AJ67" s="68">
        <f>Modello_Pess!AB37*(1+Parametri!$B$133)^32</f>
        <v>30.052795608251081</v>
      </c>
      <c r="AK67" s="68">
        <f>Modello_Pess!AB38*(1+Parametri!$B$133)^33</f>
        <v>15.497193461816813</v>
      </c>
    </row>
    <row r="68" spans="1:37" ht="15" customHeight="1" x14ac:dyDescent="0.2">
      <c r="A68" s="49" t="s">
        <v>595</v>
      </c>
      <c r="B68" s="48" t="s">
        <v>594</v>
      </c>
      <c r="C68" s="48" t="s">
        <v>474</v>
      </c>
      <c r="D68" s="67">
        <f>Modello!AE5*(1+Parametri!$B$133)^0</f>
        <v>9.3589455999999966</v>
      </c>
      <c r="E68" s="67">
        <f>Modello!AE6*(1+Parametri!$B$133)^1</f>
        <v>17.699779221863132</v>
      </c>
      <c r="F68" s="67">
        <f>Modello!AE7*(1+Parametri!$B$133)^2</f>
        <v>18.477953807869721</v>
      </c>
      <c r="G68" s="67">
        <f>Modello!AE8*(1+Parametri!$B$133)^3</f>
        <v>15.951983126986541</v>
      </c>
      <c r="H68" s="67">
        <f>Modello!AE9*(1+Parametri!$B$133)^4</f>
        <v>17.702144795272837</v>
      </c>
      <c r="I68" s="67">
        <f>Modello!AE10*(1+Parametri!$B$133)^5</f>
        <v>20.016911016045714</v>
      </c>
      <c r="J68" s="67">
        <f>Modello!AE11*(1+Parametri!$B$133)^6</f>
        <v>23.053889024649568</v>
      </c>
      <c r="K68" s="67">
        <f>Modello!AE12*(1+Parametri!$B$133)^7</f>
        <v>26.5816048909148</v>
      </c>
      <c r="L68" s="67">
        <f>Modello!AE13*(1+Parametri!$B$133)^8</f>
        <v>30.297875276233022</v>
      </c>
      <c r="M68" s="67">
        <f>Modello!AE14*(1+Parametri!$B$133)^9</f>
        <v>34.54450995893307</v>
      </c>
      <c r="N68" s="67">
        <f>Modello!AE15*(1+Parametri!$B$133)^10</f>
        <v>33.109582712747098</v>
      </c>
      <c r="O68" s="67">
        <f>Modello!AE16*(1+Parametri!$B$133)^11</f>
        <v>31.647804925719445</v>
      </c>
      <c r="P68" s="67">
        <f>Modello!AE17*(1+Parametri!$B$133)^12</f>
        <v>35.66308123728102</v>
      </c>
      <c r="Q68" s="67">
        <f>Modello!AE18*(1+Parametri!$B$133)^13</f>
        <v>40.199546917692444</v>
      </c>
      <c r="R68" s="67">
        <f>Modello!AE19*(1+Parametri!$B$133)^14</f>
        <v>44.914344762979205</v>
      </c>
      <c r="S68" s="67">
        <f>Modello!AE20*(1+Parametri!$B$133)^15</f>
        <v>45.231770231026978</v>
      </c>
      <c r="T68" s="67">
        <f>Modello!AE21*(1+Parametri!$B$133)^16</f>
        <v>49.078111758527577</v>
      </c>
      <c r="U68" s="67">
        <f>Modello!AE22*(1+Parametri!$B$133)^17</f>
        <v>53.458414172716914</v>
      </c>
      <c r="V68" s="67">
        <f>Modello!AE23*(1+Parametri!$B$133)^18</f>
        <v>58.000353265694152</v>
      </c>
      <c r="W68" s="67">
        <f>Modello!AE24*(1+Parametri!$B$133)^19</f>
        <v>63.116466210566529</v>
      </c>
      <c r="X68" s="67">
        <f>Modello!AE25*(1+Parametri!$B$133)^20</f>
        <v>54.656880364309991</v>
      </c>
      <c r="Y68" s="67">
        <f>Modello!AE26*(1+Parametri!$B$133)^21</f>
        <v>60.704257781198677</v>
      </c>
      <c r="Z68" s="67">
        <f>Modello!AE27*(1+Parametri!$B$133)^22</f>
        <v>66.983383993680263</v>
      </c>
      <c r="AA68" s="67">
        <f>Modello!AE28*(1+Parametri!$B$133)^23</f>
        <v>73.942714591240644</v>
      </c>
      <c r="AB68" s="67">
        <f>Modello!AE29*(1+Parametri!$B$133)^24</f>
        <v>81.165484520734353</v>
      </c>
      <c r="AC68" s="67">
        <f>Modello!AE30*(1+Parametri!$B$133)^25</f>
        <v>89.118884774231574</v>
      </c>
      <c r="AD68" s="67">
        <f>Modello!AE31*(1+Parametri!$B$133)^26</f>
        <v>97.369946336414444</v>
      </c>
      <c r="AE68" s="67">
        <f>Modello!AE32*(1+Parametri!$B$133)^27</f>
        <v>106.40538397883317</v>
      </c>
      <c r="AF68" s="67">
        <f>Modello!AE33*(1+Parametri!$B$133)^28</f>
        <v>115.77540229531601</v>
      </c>
      <c r="AG68" s="67">
        <f>Modello!AE34*(1+Parametri!$B$133)^29</f>
        <v>125.98706157055086</v>
      </c>
      <c r="AH68" s="67">
        <f>Modello!AE35*(1+Parametri!$B$133)^30</f>
        <v>137.61606238156273</v>
      </c>
      <c r="AI68" s="67">
        <f>Modello!AE36*(1+Parametri!$B$133)^31</f>
        <v>150.19849771466548</v>
      </c>
      <c r="AJ68" s="67">
        <f>Modello!AE37*(1+Parametri!$B$133)^32</f>
        <v>163.25087743185796</v>
      </c>
      <c r="AK68" s="67">
        <f>Modello!AE38*(1+Parametri!$B$133)^33</f>
        <v>177.32554543980646</v>
      </c>
    </row>
    <row r="69" spans="1:37" ht="15" customHeight="1" x14ac:dyDescent="0.2">
      <c r="A69" s="53" t="s">
        <v>595</v>
      </c>
      <c r="B69" s="52" t="s">
        <v>594</v>
      </c>
      <c r="C69" s="52" t="s">
        <v>475</v>
      </c>
      <c r="D69" s="68">
        <f>Modello_Pess!AE5*(1+Parametri!$B$133)^0</f>
        <v>9.3589455999999966</v>
      </c>
      <c r="E69" s="68">
        <f>Modello_Pess!AE6*(1+Parametri!$B$133)^1</f>
        <v>17.710594543067998</v>
      </c>
      <c r="F69" s="68">
        <f>Modello_Pess!AE7*(1+Parametri!$B$133)^2</f>
        <v>18.503298647841991</v>
      </c>
      <c r="G69" s="68">
        <f>Modello_Pess!AE8*(1+Parametri!$B$133)^3</f>
        <v>15.995840900057781</v>
      </c>
      <c r="H69" s="68">
        <f>Modello_Pess!AE9*(1+Parametri!$B$133)^4</f>
        <v>17.768781959644414</v>
      </c>
      <c r="I69" s="68">
        <f>Modello_Pess!AE10*(1+Parametri!$B$133)^5</f>
        <v>20.110891505480541</v>
      </c>
      <c r="J69" s="68">
        <f>Modello_Pess!AE11*(1+Parametri!$B$133)^6</f>
        <v>23.173029273229446</v>
      </c>
      <c r="K69" s="68">
        <f>Modello_Pess!AE12*(1+Parametri!$B$133)^7</f>
        <v>26.728307115894008</v>
      </c>
      <c r="L69" s="68">
        <f>Modello_Pess!AE13*(1+Parametri!$B$133)^8</f>
        <v>30.474680092028393</v>
      </c>
      <c r="M69" s="68">
        <f>Modello_Pess!AE14*(1+Parametri!$B$133)^9</f>
        <v>34.754102803361988</v>
      </c>
      <c r="N69" s="68">
        <f>Modello_Pess!AE15*(1+Parametri!$B$133)^10</f>
        <v>33.471475275936086</v>
      </c>
      <c r="O69" s="68">
        <f>Modello_Pess!AE16*(1+Parametri!$B$133)^11</f>
        <v>32.066127737917547</v>
      </c>
      <c r="P69" s="68">
        <f>Modello_Pess!AE17*(1+Parametri!$B$133)^12</f>
        <v>36.142349158263869</v>
      </c>
      <c r="Q69" s="68">
        <f>Modello_Pess!AE18*(1+Parametri!$B$133)^13</f>
        <v>40.744515593622125</v>
      </c>
      <c r="R69" s="68">
        <f>Modello_Pess!AE19*(1+Parametri!$B$133)^14</f>
        <v>45.530021307374895</v>
      </c>
      <c r="S69" s="68">
        <f>Modello_Pess!AE20*(1+Parametri!$B$133)^15</f>
        <v>45.923424333210832</v>
      </c>
      <c r="T69" s="68">
        <f>Modello_Pess!AE21*(1+Parametri!$B$133)^16</f>
        <v>49.861155709036083</v>
      </c>
      <c r="U69" s="68">
        <f>Modello_Pess!AE22*(1+Parametri!$B$133)^17</f>
        <v>54.341964594970442</v>
      </c>
      <c r="V69" s="68">
        <f>Modello_Pess!AE23*(1+Parametri!$B$133)^18</f>
        <v>58.994034920303392</v>
      </c>
      <c r="W69" s="68">
        <f>Modello_Pess!AE24*(1+Parametri!$B$133)^19</f>
        <v>64.230434700220798</v>
      </c>
      <c r="X69" s="68">
        <f>Modello_Pess!AE25*(1+Parametri!$B$133)^20</f>
        <v>56.440973445384401</v>
      </c>
      <c r="Y69" s="68">
        <f>Modello_Pess!AE26*(1+Parametri!$B$133)^21</f>
        <v>62.667963443123639</v>
      </c>
      <c r="Z69" s="68">
        <f>Modello_Pess!AE27*(1+Parametri!$B$133)^22</f>
        <v>69.138434226388853</v>
      </c>
      <c r="AA69" s="68">
        <f>Modello_Pess!AE28*(1+Parametri!$B$133)^23</f>
        <v>76.301397879902538</v>
      </c>
      <c r="AB69" s="68">
        <f>Modello_Pess!AE29*(1+Parametri!$B$133)^24</f>
        <v>83.74066858034746</v>
      </c>
      <c r="AC69" s="68">
        <f>Modello_Pess!AE30*(1+Parametri!$B$133)^25</f>
        <v>91.924040139380409</v>
      </c>
      <c r="AD69" s="68">
        <f>Modello_Pess!AE31*(1+Parametri!$B$133)^26</f>
        <v>100.41917083670383</v>
      </c>
      <c r="AE69" s="68">
        <f>Modello_Pess!AE32*(1+Parametri!$B$133)^27</f>
        <v>109.71342813155454</v>
      </c>
      <c r="AF69" s="68">
        <f>Modello_Pess!AE33*(1+Parametri!$B$133)^28</f>
        <v>119.35769564798606</v>
      </c>
      <c r="AG69" s="68">
        <f>Modello_Pess!AE34*(1+Parametri!$B$133)^29</f>
        <v>129.85974002708144</v>
      </c>
      <c r="AH69" s="68">
        <f>Modello_Pess!AE35*(1+Parametri!$B$133)^30</f>
        <v>141.73531765239275</v>
      </c>
      <c r="AI69" s="68">
        <f>Modello_Pess!AE36*(1+Parametri!$B$133)^31</f>
        <v>154.57499225157315</v>
      </c>
      <c r="AJ69" s="68">
        <f>Modello_Pess!AE37*(1+Parametri!$B$133)^32</f>
        <v>167.895675146787</v>
      </c>
      <c r="AK69" s="68">
        <f>Modello_Pess!AE38*(1+Parametri!$B$133)^33</f>
        <v>182.25012582929247</v>
      </c>
    </row>
    <row r="70" spans="1:37" x14ac:dyDescent="0.2">
      <c r="A70" s="49" t="s">
        <v>596</v>
      </c>
      <c r="B70" s="48" t="s">
        <v>594</v>
      </c>
      <c r="C70" s="48" t="s">
        <v>474</v>
      </c>
      <c r="D70" s="67">
        <f>Dinamica!D39*(1+Parametri!$B$133)^0</f>
        <v>9.2515500000000017</v>
      </c>
      <c r="E70" s="67">
        <f>Dinamica!E39*(1+Parametri!$B$133)^1</f>
        <v>20.661669252227526</v>
      </c>
      <c r="F70" s="67">
        <f>Dinamica!F39*(1+Parametri!$B$133)^2</f>
        <v>34.400887010137538</v>
      </c>
      <c r="G70" s="67">
        <f>Dinamica!G39*(1+Parametri!$B$133)^3</f>
        <v>50.649953807198891</v>
      </c>
      <c r="H70" s="67">
        <f>Dinamica!H39*(1+Parametri!$B$133)^4</f>
        <v>69.600384938986224</v>
      </c>
      <c r="I70" s="67">
        <f>Dinamica!I39*(1+Parametri!$B$133)^5</f>
        <v>91.455031099789821</v>
      </c>
      <c r="J70" s="67">
        <f>Dinamica!J39*(1+Parametri!$B$133)^6</f>
        <v>115.22367102367444</v>
      </c>
      <c r="K70" s="67">
        <f>Dinamica!K39*(1+Parametri!$B$133)^7</f>
        <v>141.02546751790408</v>
      </c>
      <c r="L70" s="67">
        <f>Dinamica!L39*(1+Parametri!$B$133)^8</f>
        <v>168.98602457077419</v>
      </c>
      <c r="M70" s="67">
        <f>Dinamica!M39*(1+Parametri!$B$133)^9</f>
        <v>199.23771174586204</v>
      </c>
      <c r="N70" s="67">
        <f>Dinamica!N39*(1+Parametri!$B$133)^10</f>
        <v>239.99959373563664</v>
      </c>
      <c r="O70" s="67">
        <f>Dinamica!O39*(1+Parametri!$B$133)^11</f>
        <v>284.10175527335616</v>
      </c>
      <c r="P70" s="67">
        <f>Dinamica!P39*(1+Parametri!$B$133)^12</f>
        <v>331.74814850790034</v>
      </c>
      <c r="Q70" s="67">
        <f>Dinamica!Q39*(1+Parametri!$B$133)^13</f>
        <v>383.15367500193418</v>
      </c>
      <c r="R70" s="67">
        <f>Dinamica!R39*(1+Parametri!$B$133)^14</f>
        <v>438.54473582440028</v>
      </c>
      <c r="S70" s="67">
        <f>Dinamica!S39*(1+Parametri!$B$133)^15</f>
        <v>498.15980825938891</v>
      </c>
      <c r="T70" s="67">
        <f>Dinamica!T39*(1+Parametri!$B$133)^16</f>
        <v>562.29238504244529</v>
      </c>
      <c r="U70" s="67">
        <f>Dinamica!U39*(1+Parametri!$B$133)^17</f>
        <v>631.21780697516283</v>
      </c>
      <c r="V70" s="67">
        <f>Dinamica!V39*(1+Parametri!$B$133)^18</f>
        <v>705.22642843466838</v>
      </c>
      <c r="W70" s="67">
        <f>Dinamica!W39*(1+Parametri!$B$133)^19</f>
        <v>784.62438472277051</v>
      </c>
      <c r="X70" s="67">
        <f>Dinamica!X39*(1+Parametri!$B$133)^20</f>
        <v>876.10616806815392</v>
      </c>
      <c r="Y70" s="67">
        <f>Dinamica!Y39*(1+Parametri!$B$133)^21</f>
        <v>974.34186146839738</v>
      </c>
      <c r="Z70" s="67">
        <f>Dinamica!Z39*(1+Parametri!$B$133)^22</f>
        <v>1079.7347320996662</v>
      </c>
      <c r="AA70" s="67">
        <f>Dinamica!AA39*(1+Parametri!$B$133)^23</f>
        <v>1192.7096611517943</v>
      </c>
      <c r="AB70" s="67">
        <f>Dinamica!AB39*(1+Parametri!$B$133)^24</f>
        <v>1313.7142337419027</v>
      </c>
      <c r="AC70" s="67">
        <f>Dinamica!AC39*(1+Parametri!$B$133)^25</f>
        <v>1443.2198818017609</v>
      </c>
      <c r="AD70" s="67">
        <f>Dinamica!AD39*(1+Parametri!$B$133)^26</f>
        <v>1581.7230824547157</v>
      </c>
      <c r="AE70" s="67">
        <f>Dinamica!AE39*(1+Parametri!$B$133)^27</f>
        <v>1729.7466145157193</v>
      </c>
      <c r="AF70" s="67">
        <f>Dinamica!AF39*(1+Parametri!$B$133)^28</f>
        <v>1887.840875871161</v>
      </c>
      <c r="AG70" s="67">
        <f>Dinamica!AG39*(1+Parametri!$B$133)^29</f>
        <v>2056.5852646240783</v>
      </c>
      <c r="AH70" s="67">
        <f>Dinamica!AH39*(1+Parametri!$B$133)^30</f>
        <v>2235.1609031778953</v>
      </c>
      <c r="AI70" s="67">
        <f>Dinamica!AI39*(1+Parametri!$B$133)^31</f>
        <v>2424.0750090794172</v>
      </c>
      <c r="AJ70" s="67">
        <f>Dinamica!AJ39*(1+Parametri!$B$133)^32</f>
        <v>2623.8596019588699</v>
      </c>
      <c r="AK70" s="67">
        <f>Dinamica!AK39*(1+Parametri!$B$133)^33</f>
        <v>2835.0726823667242</v>
      </c>
    </row>
    <row r="71" spans="1:37" ht="15" customHeight="1" x14ac:dyDescent="0.2">
      <c r="A71" s="53" t="s">
        <v>596</v>
      </c>
      <c r="B71" s="52" t="s">
        <v>594</v>
      </c>
      <c r="C71" s="52" t="s">
        <v>475</v>
      </c>
      <c r="D71" s="68">
        <f>Dinamica_Pess!D39*(1+Parametri!$B$133)^0</f>
        <v>9.2515500000000017</v>
      </c>
      <c r="E71" s="68">
        <f>Dinamica_Pess!E39*(1+Parametri!$B$133)^1</f>
        <v>20.639671988760004</v>
      </c>
      <c r="F71" s="68">
        <f>Dinamica_Pess!F39*(1+Parametri!$B$133)^2</f>
        <v>34.326643009819904</v>
      </c>
      <c r="G71" s="68">
        <f>Dinamica_Pess!G39*(1+Parametri!$B$133)^3</f>
        <v>50.484145312818207</v>
      </c>
      <c r="H71" s="68">
        <f>Dinamica_Pess!H39*(1+Parametri!$B$133)^4</f>
        <v>69.293753152504323</v>
      </c>
      <c r="I71" s="68">
        <f>Dinamica_Pess!I39*(1+Parametri!$B$133)^5</f>
        <v>90.947443403361561</v>
      </c>
      <c r="J71" s="68">
        <f>Dinamica_Pess!J39*(1+Parametri!$B$133)^6</f>
        <v>114.45748405478651</v>
      </c>
      <c r="K71" s="68">
        <f>Dinamica_Pess!K39*(1+Parametri!$B$133)^7</f>
        <v>139.93625979541821</v>
      </c>
      <c r="L71" s="68">
        <f>Dinamica_Pess!L39*(1+Parametri!$B$133)^8</f>
        <v>167.50208093002513</v>
      </c>
      <c r="M71" s="68">
        <f>Dinamica_Pess!M39*(1+Parametri!$B$133)^9</f>
        <v>197.27947583764569</v>
      </c>
      <c r="N71" s="68">
        <f>Dinamica_Pess!N39*(1+Parametri!$B$133)^10</f>
        <v>237.31925841334393</v>
      </c>
      <c r="O71" s="68">
        <f>Dinamica_Pess!O39*(1+Parametri!$B$133)^11</f>
        <v>280.57063341381536</v>
      </c>
      <c r="P71" s="68">
        <f>Dinamica_Pess!P39*(1+Parametri!$B$133)^12</f>
        <v>327.22456421784113</v>
      </c>
      <c r="Q71" s="68">
        <f>Dinamica_Pess!Q39*(1+Parametri!$B$133)^13</f>
        <v>377.4820273454261</v>
      </c>
      <c r="R71" s="68">
        <f>Dinamica_Pess!R39*(1+Parametri!$B$133)^14</f>
        <v>431.55450591400904</v>
      </c>
      <c r="S71" s="68">
        <f>Dinamica_Pess!S39*(1+Parametri!$B$133)^15</f>
        <v>489.66450661223593</v>
      </c>
      <c r="T71" s="68">
        <f>Dinamica_Pess!T39*(1+Parametri!$B$133)^16</f>
        <v>552.08843594298025</v>
      </c>
      <c r="U71" s="68">
        <f>Dinamica_Pess!U39*(1+Parametri!$B$133)^17</f>
        <v>619.08326576078275</v>
      </c>
      <c r="V71" s="68">
        <f>Dinamica_Pess!V39*(1+Parametri!$B$133)^18</f>
        <v>690.9196893029723</v>
      </c>
      <c r="W71" s="68">
        <f>Dinamica_Pess!W39*(1+Parametri!$B$133)^19</f>
        <v>767.88281006099987</v>
      </c>
      <c r="X71" s="68">
        <f>Dinamica_Pess!X39*(1+Parametri!$B$133)^20</f>
        <v>856.39503880020857</v>
      </c>
      <c r="Y71" s="68">
        <f>Dinamica_Pess!Y39*(1+Parametri!$B$133)^21</f>
        <v>951.3117809120057</v>
      </c>
      <c r="Z71" s="68">
        <f>Dinamica_Pess!Z39*(1+Parametri!$B$133)^22</f>
        <v>1053.0068053852376</v>
      </c>
      <c r="AA71" s="68">
        <f>Dinamica_Pess!AA39*(1+Parametri!$B$133)^23</f>
        <v>1161.8735056010491</v>
      </c>
      <c r="AB71" s="68">
        <f>Dinamica_Pess!AB39*(1+Parametri!$B$133)^24</f>
        <v>1278.3258719759947</v>
      </c>
      <c r="AC71" s="68">
        <f>Dinamica_Pess!AC39*(1+Parametri!$B$133)^25</f>
        <v>1402.7995112252077</v>
      </c>
      <c r="AD71" s="68">
        <f>Dinamica_Pess!AD39*(1+Parametri!$B$133)^26</f>
        <v>1535.7527144356468</v>
      </c>
      <c r="AE71" s="68">
        <f>Dinamica_Pess!AE39*(1+Parametri!$B$133)^27</f>
        <v>1677.6675762410455</v>
      </c>
      <c r="AF71" s="68">
        <f>Dinamica_Pess!AF39*(1+Parametri!$B$133)^28</f>
        <v>1829.0511674964948</v>
      </c>
      <c r="AG71" s="68">
        <f>Dinamica_Pess!AG39*(1+Parametri!$B$133)^29</f>
        <v>1990.4367639617703</v>
      </c>
      <c r="AH71" s="68">
        <f>Dinamica_Pess!AH39*(1+Parametri!$B$133)^30</f>
        <v>2161.03953154496</v>
      </c>
      <c r="AI71" s="68">
        <f>Dinamica_Pess!AI39*(1+Parametri!$B$133)^31</f>
        <v>2341.3278174922771</v>
      </c>
      <c r="AJ71" s="68">
        <f>Dinamica_Pess!AJ39*(1+Parametri!$B$133)^32</f>
        <v>2531.7926130392998</v>
      </c>
      <c r="AK71" s="68">
        <f>Dinamica_Pess!AK39*(1+Parametri!$B$133)^33</f>
        <v>2732.9486206859178</v>
      </c>
    </row>
    <row r="72" spans="1:37" ht="15" customHeight="1" x14ac:dyDescent="0.2">
      <c r="A72" s="142"/>
      <c r="B72" s="143"/>
      <c r="C72" s="143"/>
      <c r="D72" s="145"/>
      <c r="E72" s="145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ht="15" customHeight="1" x14ac:dyDescent="0.2">
      <c r="A73" s="45" t="s">
        <v>597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ht="15" customHeight="1" x14ac:dyDescent="0.2">
      <c r="A74" s="46" t="s">
        <v>598</v>
      </c>
      <c r="B74" s="78"/>
      <c r="C74" s="78"/>
      <c r="D74" s="75"/>
      <c r="E74" s="75"/>
      <c r="G74" s="76"/>
      <c r="H74" s="76"/>
      <c r="I74" s="76"/>
    </row>
    <row r="75" spans="1:37" x14ac:dyDescent="0.2">
      <c r="A75" s="47" t="s">
        <v>517</v>
      </c>
      <c r="B75" s="47" t="s">
        <v>4</v>
      </c>
      <c r="C75" s="47" t="s">
        <v>393</v>
      </c>
      <c r="D75" s="47">
        <v>2027</v>
      </c>
      <c r="E75" s="47">
        <v>2028</v>
      </c>
      <c r="F75" s="47">
        <v>2029</v>
      </c>
      <c r="G75" s="47">
        <v>2030</v>
      </c>
      <c r="H75" s="47">
        <v>2031</v>
      </c>
      <c r="I75" s="47">
        <v>2032</v>
      </c>
      <c r="J75" s="47">
        <v>2033</v>
      </c>
      <c r="K75" s="47">
        <v>2034</v>
      </c>
      <c r="L75" s="47">
        <v>2035</v>
      </c>
      <c r="M75" s="47">
        <v>2036</v>
      </c>
      <c r="N75" s="47">
        <v>2037</v>
      </c>
      <c r="O75" s="47">
        <v>2038</v>
      </c>
      <c r="P75" s="47">
        <v>2039</v>
      </c>
      <c r="Q75" s="47">
        <v>2040</v>
      </c>
      <c r="R75" s="47">
        <v>2041</v>
      </c>
      <c r="S75" s="47">
        <v>2042</v>
      </c>
      <c r="T75" s="47">
        <v>2043</v>
      </c>
      <c r="U75" s="47">
        <v>2044</v>
      </c>
      <c r="V75" s="47">
        <v>2045</v>
      </c>
      <c r="W75" s="47">
        <v>2046</v>
      </c>
      <c r="X75" s="47">
        <v>2047</v>
      </c>
      <c r="Y75" s="47">
        <v>2048</v>
      </c>
      <c r="Z75" s="47">
        <v>2049</v>
      </c>
      <c r="AA75" s="47">
        <v>2050</v>
      </c>
      <c r="AB75" s="47">
        <v>2051</v>
      </c>
      <c r="AC75" s="47">
        <v>2052</v>
      </c>
      <c r="AD75" s="47">
        <v>2053</v>
      </c>
      <c r="AE75" s="47">
        <v>2054</v>
      </c>
      <c r="AF75" s="47">
        <v>2055</v>
      </c>
      <c r="AG75" s="47">
        <v>2056</v>
      </c>
      <c r="AH75" s="47">
        <v>2057</v>
      </c>
      <c r="AI75" s="47">
        <v>2058</v>
      </c>
      <c r="AJ75" s="47">
        <v>2059</v>
      </c>
      <c r="AK75" s="47">
        <v>2060</v>
      </c>
    </row>
    <row r="76" spans="1:37" x14ac:dyDescent="0.2">
      <c r="A76" s="93" t="s">
        <v>599</v>
      </c>
      <c r="B76" s="93" t="s">
        <v>520</v>
      </c>
      <c r="C76" s="93" t="s">
        <v>474</v>
      </c>
      <c r="D76" s="94">
        <f>Parametri!$B$22+Parametri!$B$15</f>
        <v>-3.0000000000000001E-3</v>
      </c>
      <c r="E76" s="94">
        <f>Parametri!$B$22+Parametri!$B$15</f>
        <v>-3.0000000000000001E-3</v>
      </c>
      <c r="F76" s="94">
        <f>Parametri!$B$22+Parametri!$B$15</f>
        <v>-3.0000000000000001E-3</v>
      </c>
      <c r="G76" s="94">
        <f>Parametri!$B$22+Parametri!$B$15</f>
        <v>-3.0000000000000001E-3</v>
      </c>
      <c r="H76" s="94">
        <f>Parametri!$B$22+Parametri!$B$15</f>
        <v>-3.0000000000000001E-3</v>
      </c>
      <c r="I76" s="94">
        <f>Parametri!$B$22+Parametri!$B$15</f>
        <v>-3.0000000000000001E-3</v>
      </c>
      <c r="J76" s="94">
        <f>Parametri!$B$22+Parametri!$B$15</f>
        <v>-3.0000000000000001E-3</v>
      </c>
      <c r="K76" s="94">
        <f>Parametri!$B$22+Parametri!$B$15</f>
        <v>-3.0000000000000001E-3</v>
      </c>
      <c r="L76" s="94">
        <f>Parametri!$B$22+Parametri!$B$15</f>
        <v>-3.0000000000000001E-3</v>
      </c>
      <c r="M76" s="94">
        <f>Parametri!$B$22+Parametri!$B$15</f>
        <v>-3.0000000000000001E-3</v>
      </c>
      <c r="N76" s="94">
        <f>Parametri!$B$22+Parametri!$B$15</f>
        <v>-3.0000000000000001E-3</v>
      </c>
      <c r="O76" s="94">
        <f>Parametri!$B$22+Parametri!$B$15</f>
        <v>-3.0000000000000001E-3</v>
      </c>
      <c r="P76" s="94">
        <f>Parametri!$B$22+Parametri!$B$15</f>
        <v>-3.0000000000000001E-3</v>
      </c>
      <c r="Q76" s="94">
        <f>Parametri!$B$22+Parametri!$B$15</f>
        <v>-3.0000000000000001E-3</v>
      </c>
      <c r="R76" s="94">
        <f>Parametri!$B$22+Parametri!$B$15</f>
        <v>-3.0000000000000001E-3</v>
      </c>
      <c r="S76" s="94">
        <f>Parametri!$B$22+Parametri!$B$15</f>
        <v>-3.0000000000000001E-3</v>
      </c>
      <c r="T76" s="94">
        <f>Parametri!$B$22+Parametri!$B$15</f>
        <v>-3.0000000000000001E-3</v>
      </c>
      <c r="U76" s="94">
        <f>Parametri!$B$22+Parametri!$B$15</f>
        <v>-3.0000000000000001E-3</v>
      </c>
      <c r="V76" s="94">
        <f>Parametri!$B$22+Parametri!$B$15</f>
        <v>-3.0000000000000001E-3</v>
      </c>
      <c r="W76" s="94">
        <f>Parametri!$B$22+Parametri!$B$15</f>
        <v>-3.0000000000000001E-3</v>
      </c>
      <c r="X76" s="94">
        <f>Parametri!$B$22+Parametri!$B$15</f>
        <v>-3.0000000000000001E-3</v>
      </c>
      <c r="Y76" s="94">
        <f>Parametri!$B$22+Parametri!$B$15</f>
        <v>-3.0000000000000001E-3</v>
      </c>
      <c r="Z76" s="94">
        <f>Parametri!$B$22+Parametri!$B$15</f>
        <v>-3.0000000000000001E-3</v>
      </c>
      <c r="AA76" s="94">
        <f>Parametri!$B$22+Parametri!$B$15</f>
        <v>-3.0000000000000001E-3</v>
      </c>
      <c r="AB76" s="94">
        <f>Parametri!$B$22+Parametri!$B$15</f>
        <v>-3.0000000000000001E-3</v>
      </c>
      <c r="AC76" s="94">
        <f>Parametri!$B$22+Parametri!$B$15</f>
        <v>-3.0000000000000001E-3</v>
      </c>
      <c r="AD76" s="94">
        <f>Parametri!$B$22+Parametri!$B$15</f>
        <v>-3.0000000000000001E-3</v>
      </c>
      <c r="AE76" s="94">
        <f>Parametri!$B$22+Parametri!$B$15</f>
        <v>-3.0000000000000001E-3</v>
      </c>
      <c r="AF76" s="94">
        <f>Parametri!$B$22+Parametri!$B$15</f>
        <v>-3.0000000000000001E-3</v>
      </c>
      <c r="AG76" s="94">
        <f>Parametri!$B$22+Parametri!$B$15</f>
        <v>-3.0000000000000001E-3</v>
      </c>
      <c r="AH76" s="94">
        <f>Parametri!$B$22+Parametri!$B$15</f>
        <v>-3.0000000000000001E-3</v>
      </c>
      <c r="AI76" s="94">
        <f>Parametri!$B$22+Parametri!$B$15</f>
        <v>-3.0000000000000001E-3</v>
      </c>
      <c r="AJ76" s="94">
        <f>Parametri!$B$22+Parametri!$B$15</f>
        <v>-3.0000000000000001E-3</v>
      </c>
      <c r="AK76" s="94">
        <f>Parametri!$B$22+Parametri!$B$15</f>
        <v>-3.0000000000000001E-3</v>
      </c>
    </row>
    <row r="77" spans="1:37" ht="15" customHeight="1" x14ac:dyDescent="0.2">
      <c r="A77" s="101" t="s">
        <v>599</v>
      </c>
      <c r="B77" s="101" t="s">
        <v>520</v>
      </c>
      <c r="C77" s="101" t="s">
        <v>475</v>
      </c>
      <c r="D77" s="88">
        <f>Parametri!$B$130+Parametri!$B$15</f>
        <v>-5.0000000000000001E-3</v>
      </c>
      <c r="E77" s="88">
        <f>Parametri!$B$130+Parametri!$B$15</f>
        <v>-5.0000000000000001E-3</v>
      </c>
      <c r="F77" s="88">
        <f>Parametri!$B$130+Parametri!$B$15</f>
        <v>-5.0000000000000001E-3</v>
      </c>
      <c r="G77" s="88">
        <f>Parametri!$B$130+Parametri!$B$15</f>
        <v>-5.0000000000000001E-3</v>
      </c>
      <c r="H77" s="88">
        <f>Parametri!$B$130+Parametri!$B$15</f>
        <v>-5.0000000000000001E-3</v>
      </c>
      <c r="I77" s="88">
        <f>Parametri!$B$130+Parametri!$B$15</f>
        <v>-5.0000000000000001E-3</v>
      </c>
      <c r="J77" s="88">
        <f>Parametri!$B$130+Parametri!$B$15</f>
        <v>-5.0000000000000001E-3</v>
      </c>
      <c r="K77" s="88">
        <f>Parametri!$B$130+Parametri!$B$15</f>
        <v>-5.0000000000000001E-3</v>
      </c>
      <c r="L77" s="88">
        <f>Parametri!$B$130+Parametri!$B$15</f>
        <v>-5.0000000000000001E-3</v>
      </c>
      <c r="M77" s="88">
        <f>Parametri!$B$130+Parametri!$B$15</f>
        <v>-5.0000000000000001E-3</v>
      </c>
      <c r="N77" s="88">
        <f>Parametri!$B$130+Parametri!$B$15</f>
        <v>-5.0000000000000001E-3</v>
      </c>
      <c r="O77" s="88">
        <f>Parametri!$B$130+Parametri!$B$15</f>
        <v>-5.0000000000000001E-3</v>
      </c>
      <c r="P77" s="88">
        <f>Parametri!$B$130+Parametri!$B$15</f>
        <v>-5.0000000000000001E-3</v>
      </c>
      <c r="Q77" s="88">
        <f>Parametri!$B$130+Parametri!$B$15</f>
        <v>-5.0000000000000001E-3</v>
      </c>
      <c r="R77" s="88">
        <f>Parametri!$B$130+Parametri!$B$15</f>
        <v>-5.0000000000000001E-3</v>
      </c>
      <c r="S77" s="88">
        <f>Parametri!$B$130+Parametri!$B$15</f>
        <v>-5.0000000000000001E-3</v>
      </c>
      <c r="T77" s="88">
        <f>Parametri!$B$130+Parametri!$B$15</f>
        <v>-5.0000000000000001E-3</v>
      </c>
      <c r="U77" s="88">
        <f>Parametri!$B$130+Parametri!$B$15</f>
        <v>-5.0000000000000001E-3</v>
      </c>
      <c r="V77" s="88">
        <f>Parametri!$B$130+Parametri!$B$15</f>
        <v>-5.0000000000000001E-3</v>
      </c>
      <c r="W77" s="88">
        <f>Parametri!$B$130+Parametri!$B$15</f>
        <v>-5.0000000000000001E-3</v>
      </c>
      <c r="X77" s="88">
        <f>Parametri!$B$130+Parametri!$B$15</f>
        <v>-5.0000000000000001E-3</v>
      </c>
      <c r="Y77" s="88">
        <f>Parametri!$B$130+Parametri!$B$15</f>
        <v>-5.0000000000000001E-3</v>
      </c>
      <c r="Z77" s="88">
        <f>Parametri!$B$130+Parametri!$B$15</f>
        <v>-5.0000000000000001E-3</v>
      </c>
      <c r="AA77" s="88">
        <f>Parametri!$B$130+Parametri!$B$15</f>
        <v>-5.0000000000000001E-3</v>
      </c>
      <c r="AB77" s="88">
        <f>Parametri!$B$130+Parametri!$B$15</f>
        <v>-5.0000000000000001E-3</v>
      </c>
      <c r="AC77" s="88">
        <f>Parametri!$B$130+Parametri!$B$15</f>
        <v>-5.0000000000000001E-3</v>
      </c>
      <c r="AD77" s="88">
        <f>Parametri!$B$130+Parametri!$B$15</f>
        <v>-5.0000000000000001E-3</v>
      </c>
      <c r="AE77" s="88">
        <f>Parametri!$B$130+Parametri!$B$15</f>
        <v>-5.0000000000000001E-3</v>
      </c>
      <c r="AF77" s="88">
        <f>Parametri!$B$130+Parametri!$B$15</f>
        <v>-5.0000000000000001E-3</v>
      </c>
      <c r="AG77" s="88">
        <f>Parametri!$B$130+Parametri!$B$15</f>
        <v>-5.0000000000000001E-3</v>
      </c>
      <c r="AH77" s="88">
        <f>Parametri!$B$130+Parametri!$B$15</f>
        <v>-5.0000000000000001E-3</v>
      </c>
      <c r="AI77" s="88">
        <f>Parametri!$B$130+Parametri!$B$15</f>
        <v>-5.0000000000000001E-3</v>
      </c>
      <c r="AJ77" s="88">
        <f>Parametri!$B$130+Parametri!$B$15</f>
        <v>-5.0000000000000001E-3</v>
      </c>
      <c r="AK77" s="88">
        <f>Parametri!$B$130+Parametri!$B$15</f>
        <v>-5.0000000000000001E-3</v>
      </c>
    </row>
    <row r="78" spans="1:37" ht="15" customHeight="1" x14ac:dyDescent="0.2">
      <c r="A78" s="100" t="s">
        <v>600</v>
      </c>
      <c r="B78" s="100" t="s">
        <v>48</v>
      </c>
      <c r="C78" s="100" t="s">
        <v>474</v>
      </c>
      <c r="D78" s="94">
        <f>D80/Modello!H5</f>
        <v>0.72799999999999998</v>
      </c>
      <c r="E78" s="94">
        <f>E80/Modello!H6</f>
        <v>0.71626041766299997</v>
      </c>
      <c r="F78" s="94">
        <f>F80/Modello!H7</f>
        <v>0.70472964841118813</v>
      </c>
      <c r="G78" s="94">
        <f>G80/Modello!H8</f>
        <v>0.69340349723754069</v>
      </c>
      <c r="H78" s="94">
        <f>H80/Modello!H9</f>
        <v>0.68227786618447817</v>
      </c>
      <c r="I78" s="94">
        <f>I80/Modello!H10</f>
        <v>0.67134875173349784</v>
      </c>
      <c r="J78" s="94">
        <f>J80/Modello!H11</f>
        <v>0.66061224227628879</v>
      </c>
      <c r="K78" s="94">
        <f>K80/Modello!H12</f>
        <v>0.65006451566440271</v>
      </c>
      <c r="L78" s="94">
        <f>L80/Modello!H13</f>
        <v>0.63970183683468107</v>
      </c>
      <c r="M78" s="94">
        <f>M80/Modello!H14</f>
        <v>0.62952055550774766</v>
      </c>
      <c r="N78" s="94">
        <f>N80/Modello!H15</f>
        <v>0.61951710395698512</v>
      </c>
      <c r="O78" s="94">
        <f>O80/Modello!H16</f>
        <v>0.60968799484551717</v>
      </c>
      <c r="P78" s="94">
        <f>P80/Modello!H17</f>
        <v>0.60002981912881936</v>
      </c>
      <c r="Q78" s="94">
        <f>Q80/Modello!H18</f>
        <v>0.59053924402066871</v>
      </c>
      <c r="R78" s="94">
        <f>R80/Modello!H19</f>
        <v>0.58925793810720406</v>
      </c>
      <c r="S78" s="94">
        <f>S80/Modello!H20</f>
        <v>0.588025463290335</v>
      </c>
      <c r="T78" s="94">
        <f>T80/Modello!H21</f>
        <v>0.5868423489948259</v>
      </c>
      <c r="U78" s="94">
        <f>U80/Modello!H22</f>
        <v>0.58570915260825229</v>
      </c>
      <c r="V78" s="94">
        <f>V80/Modello!H23</f>
        <v>0.58462646066767843</v>
      </c>
      <c r="W78" s="94">
        <f>W80/Modello!H24</f>
        <v>0.58359489011332011</v>
      </c>
      <c r="X78" s="94">
        <f>X80/Modello!H25</f>
        <v>0.58261508961356379</v>
      </c>
      <c r="Y78" s="94">
        <f>Y80/Modello!H26</f>
        <v>0.58168774096604037</v>
      </c>
      <c r="Z78" s="94">
        <f>Z80/Modello!H27</f>
        <v>0.58081356057981537</v>
      </c>
      <c r="AA78" s="94">
        <f>AA80/Modello!H28</f>
        <v>0.57999330104414071</v>
      </c>
      <c r="AB78" s="94">
        <f>AB80/Modello!H29</f>
        <v>0.57922775278964189</v>
      </c>
      <c r="AC78" s="94">
        <f>AC80/Modello!H30</f>
        <v>0.57851774584827009</v>
      </c>
      <c r="AD78" s="94">
        <f>AD80/Modello!H31</f>
        <v>0.57786415171885519</v>
      </c>
      <c r="AE78" s="94">
        <f>AE80/Modello!H32</f>
        <v>0.57726788534563822</v>
      </c>
      <c r="AF78" s="94">
        <f>AF80/Modello!H33</f>
        <v>0.57672990721776074</v>
      </c>
      <c r="AG78" s="94">
        <f>AG80/Modello!H34</f>
        <v>0.57625122559834074</v>
      </c>
      <c r="AH78" s="94">
        <f>AH80/Modello!H35</f>
        <v>0.57583289889247258</v>
      </c>
      <c r="AI78" s="94">
        <f>AI80/Modello!H36</f>
        <v>0.57547603816427129</v>
      </c>
      <c r="AJ78" s="94">
        <f>AJ80/Modello!H37</f>
        <v>0.57518180981393174</v>
      </c>
      <c r="AK78" s="94">
        <f>AK80/Modello!H38</f>
        <v>0.57495143842670571</v>
      </c>
    </row>
    <row r="79" spans="1:37" ht="15" customHeight="1" x14ac:dyDescent="0.2">
      <c r="A79" s="101" t="s">
        <v>600</v>
      </c>
      <c r="B79" s="101" t="s">
        <v>48</v>
      </c>
      <c r="C79" s="101" t="s">
        <v>475</v>
      </c>
      <c r="D79" s="88">
        <f>D81/Modello_Pess!H5</f>
        <v>0.72799999999999998</v>
      </c>
      <c r="E79" s="88">
        <f>E81/Modello_Pess!H6</f>
        <v>0.71839421954128058</v>
      </c>
      <c r="F79" s="88">
        <f>F81/Modello_Pess!H7</f>
        <v>0.7089348042909871</v>
      </c>
      <c r="G79" s="88">
        <f>G81/Modello_Pess!H8</f>
        <v>0.69961910474282629</v>
      </c>
      <c r="H79" s="88">
        <f>H81/Modello_Pess!H9</f>
        <v>0.69044452916203569</v>
      </c>
      <c r="I79" s="88">
        <f>I81/Modello_Pess!H10</f>
        <v>0.6814085420742283</v>
      </c>
      <c r="J79" s="88">
        <f>J81/Modello_Pess!H11</f>
        <v>0.67250866280089605</v>
      </c>
      <c r="K79" s="88">
        <f>K81/Modello_Pess!H12</f>
        <v>0.66374246403990134</v>
      </c>
      <c r="L79" s="88">
        <f>L81/Modello_Pess!H13</f>
        <v>0.65510757048936075</v>
      </c>
      <c r="M79" s="88">
        <f>M81/Modello_Pess!H14</f>
        <v>0.64660165751338428</v>
      </c>
      <c r="N79" s="88">
        <f>N81/Modello_Pess!H15</f>
        <v>0.63822244984819809</v>
      </c>
      <c r="O79" s="88">
        <f>O81/Modello_Pess!H16</f>
        <v>0.62996772034723447</v>
      </c>
      <c r="P79" s="88">
        <f>P81/Modello_Pess!H17</f>
        <v>0.62183528876383609</v>
      </c>
      <c r="Q79" s="88">
        <f>Q81/Modello_Pess!H18</f>
        <v>0.61382302057026294</v>
      </c>
      <c r="R79" s="88">
        <f>R81/Modello_Pess!H19</f>
        <v>0.61431585970658764</v>
      </c>
      <c r="S79" s="88">
        <f>S81/Modello_Pess!H20</f>
        <v>0.61485724688532783</v>
      </c>
      <c r="T79" s="88">
        <f>T81/Modello_Pess!H21</f>
        <v>0.61544817433196775</v>
      </c>
      <c r="U79" s="88">
        <f>U81/Modello_Pess!H22</f>
        <v>0.61608967292752803</v>
      </c>
      <c r="V79" s="88">
        <f>V81/Modello_Pess!H23</f>
        <v>0.61678281396103396</v>
      </c>
      <c r="W79" s="88">
        <f>W81/Modello_Pess!H24</f>
        <v>0.61752871097950535</v>
      </c>
      <c r="X79" s="88">
        <f>X81/Modello_Pess!H25</f>
        <v>0.61832852174185537</v>
      </c>
      <c r="Y79" s="88">
        <f>Y81/Modello_Pess!H26</f>
        <v>0.6191834502835516</v>
      </c>
      <c r="Z79" s="88">
        <f>Z81/Modello_Pess!H27</f>
        <v>0.62009474909942741</v>
      </c>
      <c r="AA79" s="88">
        <f>AA81/Modello_Pess!H28</f>
        <v>0.62106372145259103</v>
      </c>
      <c r="AB79" s="88">
        <f>AB81/Modello_Pess!H29</f>
        <v>0.62209172381800348</v>
      </c>
      <c r="AC79" s="88">
        <f>AC81/Modello_Pess!H30</f>
        <v>0.6231801684699636</v>
      </c>
      <c r="AD79" s="88">
        <f>AD81/Modello_Pess!H31</f>
        <v>0.62433052622347429</v>
      </c>
      <c r="AE79" s="88">
        <f>AE81/Modello_Pess!H32</f>
        <v>0.62554432934025983</v>
      </c>
      <c r="AF79" s="88">
        <f>AF81/Modello_Pess!H33</f>
        <v>0.6268231746110744</v>
      </c>
      <c r="AG79" s="88">
        <f>AG81/Modello_Pess!H34</f>
        <v>0.62816872662689371</v>
      </c>
      <c r="AH79" s="88">
        <f>AH81/Modello_Pess!H35</f>
        <v>0.62958272125261749</v>
      </c>
      <c r="AI79" s="88">
        <f>AI81/Modello_Pess!H36</f>
        <v>0.63106696931804984</v>
      </c>
      <c r="AJ79" s="88">
        <f>AJ81/Modello_Pess!H37</f>
        <v>0.63262336054216428</v>
      </c>
      <c r="AK79" s="88">
        <f>AK81/Modello_Pess!H38</f>
        <v>0.63425386770802583</v>
      </c>
    </row>
    <row r="80" spans="1:37" ht="15" customHeight="1" x14ac:dyDescent="0.2">
      <c r="A80" s="93" t="s">
        <v>601</v>
      </c>
      <c r="B80" s="93" t="s">
        <v>523</v>
      </c>
      <c r="C80" s="93" t="s">
        <v>474</v>
      </c>
      <c r="D80" s="178">
        <f>Parametri!$B$136*Modello!H5</f>
        <v>260.56576000000001</v>
      </c>
      <c r="E80" s="178">
        <f>D80*(1+Parametri!$B$22)*(1+Parametri!$B$15)</f>
        <v>259.78145706239997</v>
      </c>
      <c r="F80" s="178">
        <f>E80*(1+Parametri!$B$22)*(1+Parametri!$B$15)</f>
        <v>258.99951487664214</v>
      </c>
      <c r="G80" s="178">
        <f>F80*(1+Parametri!$B$22)*(1+Parametri!$B$15)</f>
        <v>258.21992633686347</v>
      </c>
      <c r="H80" s="178">
        <f>G80*(1+Parametri!$B$22)*(1+Parametri!$B$15)</f>
        <v>257.44268435858953</v>
      </c>
      <c r="I80" s="178">
        <f>H80*(1+Parametri!$B$22)*(1+Parametri!$B$15)</f>
        <v>256.66778187867016</v>
      </c>
      <c r="J80" s="178">
        <f>I80*(1+Parametri!$B$22)*(1+Parametri!$B$15)</f>
        <v>255.89521185521534</v>
      </c>
      <c r="K80" s="178">
        <f>J80*(1+Parametri!$B$22)*(1+Parametri!$B$15)</f>
        <v>255.1249672675311</v>
      </c>
      <c r="L80" s="178">
        <f>K80*(1+Parametri!$B$22)*(1+Parametri!$B$15)</f>
        <v>254.35704111605585</v>
      </c>
      <c r="M80" s="178">
        <f>L80*(1+Parametri!$B$22)*(1+Parametri!$B$15)</f>
        <v>253.59142642229651</v>
      </c>
      <c r="N80" s="178">
        <f>M80*(1+Parametri!$B$22)*(1+Parametri!$B$15)</f>
        <v>252.8281162287654</v>
      </c>
      <c r="O80" s="178">
        <f>N80*(1+Parametri!$B$22)*(1+Parametri!$B$15)</f>
        <v>252.06710359891682</v>
      </c>
      <c r="P80" s="178">
        <f>O80*(1+Parametri!$B$22)*(1+Parametri!$B$15)</f>
        <v>251.30838161708408</v>
      </c>
      <c r="Q80" s="178">
        <f>P80*(1+Parametri!$B$22)*(1+Parametri!$B$15)</f>
        <v>250.55194338841665</v>
      </c>
      <c r="R80" s="178">
        <f>Q80*(1+Parametri!$B$22)*(1+Parametri!$B$15)</f>
        <v>249.7977820388175</v>
      </c>
      <c r="S80" s="178">
        <f>R80*(1+Parametri!$B$22)*(1+Parametri!$B$15)</f>
        <v>249.04589071488064</v>
      </c>
      <c r="T80" s="178">
        <f>S80*(1+Parametri!$B$22)*(1+Parametri!$B$15)</f>
        <v>248.29626258382885</v>
      </c>
      <c r="U80" s="178">
        <f>T80*(1+Parametri!$B$22)*(1+Parametri!$B$15)</f>
        <v>247.54889083345154</v>
      </c>
      <c r="V80" s="178">
        <f>U80*(1+Parametri!$B$22)*(1+Parametri!$B$15)</f>
        <v>246.80376867204285</v>
      </c>
      <c r="W80" s="178">
        <f>V80*(1+Parametri!$B$22)*(1+Parametri!$B$15)</f>
        <v>246.06088932833998</v>
      </c>
      <c r="X80" s="178">
        <f>W80*(1+Parametri!$B$22)*(1+Parametri!$B$15)</f>
        <v>245.32024605146165</v>
      </c>
      <c r="Y80" s="178">
        <f>X80*(1+Parametri!$B$22)*(1+Parametri!$B$15)</f>
        <v>244.58183211084676</v>
      </c>
      <c r="Z80" s="178">
        <f>Y80*(1+Parametri!$B$22)*(1+Parametri!$B$15)</f>
        <v>243.84564079619312</v>
      </c>
      <c r="AA80" s="178">
        <f>Z80*(1+Parametri!$B$22)*(1+Parametri!$B$15)</f>
        <v>243.11166541739658</v>
      </c>
      <c r="AB80" s="178">
        <f>AA80*(1+Parametri!$B$22)*(1+Parametri!$B$15)</f>
        <v>242.37989930449024</v>
      </c>
      <c r="AC80" s="178">
        <f>AB80*(1+Parametri!$B$22)*(1+Parametri!$B$15)</f>
        <v>241.65033580758373</v>
      </c>
      <c r="AD80" s="178">
        <f>AC80*(1+Parametri!$B$22)*(1+Parametri!$B$15)</f>
        <v>240.92296829680288</v>
      </c>
      <c r="AE80" s="178">
        <f>AD80*(1+Parametri!$B$22)*(1+Parametri!$B$15)</f>
        <v>240.1977901622295</v>
      </c>
      <c r="AF80" s="178">
        <f>AE80*(1+Parametri!$B$22)*(1+Parametri!$B$15)</f>
        <v>239.47479481384119</v>
      </c>
      <c r="AG80" s="178">
        <f>AF80*(1+Parametri!$B$22)*(1+Parametri!$B$15)</f>
        <v>238.75397568145152</v>
      </c>
      <c r="AH80" s="178">
        <f>AG80*(1+Parametri!$B$22)*(1+Parametri!$B$15)</f>
        <v>238.03532621465035</v>
      </c>
      <c r="AI80" s="178">
        <f>AH80*(1+Parametri!$B$22)*(1+Parametri!$B$15)</f>
        <v>237.31883988274427</v>
      </c>
      <c r="AJ80" s="178">
        <f>AI80*(1+Parametri!$B$22)*(1+Parametri!$B$15)</f>
        <v>236.60451017469723</v>
      </c>
      <c r="AK80" s="178">
        <f>AJ80*(1+Parametri!$B$22)*(1+Parametri!$B$15)</f>
        <v>235.89233059907139</v>
      </c>
    </row>
    <row r="81" spans="1:37" ht="15" customHeight="1" x14ac:dyDescent="0.2">
      <c r="A81" s="101" t="s">
        <v>601</v>
      </c>
      <c r="B81" s="101" t="s">
        <v>523</v>
      </c>
      <c r="C81" s="101" t="s">
        <v>475</v>
      </c>
      <c r="D81" s="179">
        <f>Parametri!$B$136*Modello!H5</f>
        <v>260.56576000000001</v>
      </c>
      <c r="E81" s="179">
        <f>D81*(1+Parametri!$B$130)*(1+Parametri!$B$15)</f>
        <v>259.26293120000003</v>
      </c>
      <c r="F81" s="179">
        <f>E81*(1+Parametri!$B$130)*(1+Parametri!$B$15)</f>
        <v>257.96661654400003</v>
      </c>
      <c r="G81" s="179">
        <f>F81*(1+Parametri!$B$130)*(1+Parametri!$B$15)</f>
        <v>256.67678346128002</v>
      </c>
      <c r="H81" s="179">
        <f>G81*(1+Parametri!$B$130)*(1+Parametri!$B$15)</f>
        <v>255.39339954397363</v>
      </c>
      <c r="I81" s="179">
        <f>H81*(1+Parametri!$B$130)*(1+Parametri!$B$15)</f>
        <v>254.11643254625375</v>
      </c>
      <c r="J81" s="179">
        <f>I81*(1+Parametri!$B$130)*(1+Parametri!$B$15)</f>
        <v>252.84585038352247</v>
      </c>
      <c r="K81" s="179">
        <f>J81*(1+Parametri!$B$130)*(1+Parametri!$B$15)</f>
        <v>251.58162113160486</v>
      </c>
      <c r="L81" s="179">
        <f>K81*(1+Parametri!$B$130)*(1+Parametri!$B$15)</f>
        <v>250.32371302594683</v>
      </c>
      <c r="M81" s="179">
        <f>L81*(1+Parametri!$B$130)*(1+Parametri!$B$15)</f>
        <v>249.07209446081708</v>
      </c>
      <c r="N81" s="179">
        <f>M81*(1+Parametri!$B$130)*(1+Parametri!$B$15)</f>
        <v>247.82673398851298</v>
      </c>
      <c r="O81" s="179">
        <f>N81*(1+Parametri!$B$130)*(1+Parametri!$B$15)</f>
        <v>246.58760031857042</v>
      </c>
      <c r="P81" s="179">
        <f>O81*(1+Parametri!$B$130)*(1+Parametri!$B$15)</f>
        <v>245.35466231697757</v>
      </c>
      <c r="Q81" s="179">
        <f>P81*(1+Parametri!$B$130)*(1+Parametri!$B$15)</f>
        <v>244.12788900539269</v>
      </c>
      <c r="R81" s="179">
        <f>Q81*(1+Parametri!$B$130)*(1+Parametri!$B$15)</f>
        <v>242.90724956036573</v>
      </c>
      <c r="S81" s="179">
        <f>R81*(1+Parametri!$B$130)*(1+Parametri!$B$15)</f>
        <v>241.69271331256391</v>
      </c>
      <c r="T81" s="179">
        <f>S81*(1+Parametri!$B$130)*(1+Parametri!$B$15)</f>
        <v>240.4842497460011</v>
      </c>
      <c r="U81" s="179">
        <f>T81*(1+Parametri!$B$130)*(1+Parametri!$B$15)</f>
        <v>239.28182849727108</v>
      </c>
      <c r="V81" s="179">
        <f>U81*(1+Parametri!$B$130)*(1+Parametri!$B$15)</f>
        <v>238.08541935478473</v>
      </c>
      <c r="W81" s="179">
        <f>V81*(1+Parametri!$B$130)*(1+Parametri!$B$15)</f>
        <v>236.8949922580108</v>
      </c>
      <c r="X81" s="179">
        <f>W81*(1+Parametri!$B$130)*(1+Parametri!$B$15)</f>
        <v>235.71051729672075</v>
      </c>
      <c r="Y81" s="179">
        <f>X81*(1+Parametri!$B$130)*(1+Parametri!$B$15)</f>
        <v>234.53196471023713</v>
      </c>
      <c r="Z81" s="179">
        <f>Y81*(1+Parametri!$B$130)*(1+Parametri!$B$15)</f>
        <v>233.35930488668595</v>
      </c>
      <c r="AA81" s="179">
        <f>Z81*(1+Parametri!$B$130)*(1+Parametri!$B$15)</f>
        <v>232.19250836225251</v>
      </c>
      <c r="AB81" s="179">
        <f>AA81*(1+Parametri!$B$130)*(1+Parametri!$B$15)</f>
        <v>231.03154582044124</v>
      </c>
      <c r="AC81" s="179">
        <f>AB81*(1+Parametri!$B$130)*(1+Parametri!$B$15)</f>
        <v>229.87638809133904</v>
      </c>
      <c r="AD81" s="179">
        <f>AC81*(1+Parametri!$B$130)*(1+Parametri!$B$15)</f>
        <v>228.72700615088235</v>
      </c>
      <c r="AE81" s="179">
        <f>AD81*(1+Parametri!$B$130)*(1+Parametri!$B$15)</f>
        <v>227.58337112012794</v>
      </c>
      <c r="AF81" s="179">
        <f>AE81*(1+Parametri!$B$130)*(1+Parametri!$B$15)</f>
        <v>226.44545426452729</v>
      </c>
      <c r="AG81" s="179">
        <f>AF81*(1+Parametri!$B$130)*(1+Parametri!$B$15)</f>
        <v>225.31322699320464</v>
      </c>
      <c r="AH81" s="179">
        <f>AG81*(1+Parametri!$B$130)*(1+Parametri!$B$15)</f>
        <v>224.18666085823861</v>
      </c>
      <c r="AI81" s="179">
        <f>AH81*(1+Parametri!$B$130)*(1+Parametri!$B$15)</f>
        <v>223.06572755394743</v>
      </c>
      <c r="AJ81" s="179">
        <f>AI81*(1+Parametri!$B$130)*(1+Parametri!$B$15)</f>
        <v>221.95039891617768</v>
      </c>
      <c r="AK81" s="179">
        <f>AJ81*(1+Parametri!$B$130)*(1+Parametri!$B$15)</f>
        <v>220.8406469215968</v>
      </c>
    </row>
    <row r="82" spans="1:37" x14ac:dyDescent="0.2">
      <c r="A82" s="98" t="s">
        <v>602</v>
      </c>
      <c r="B82" s="98" t="s">
        <v>523</v>
      </c>
      <c r="C82" s="98" t="s">
        <v>474</v>
      </c>
      <c r="D82" s="180">
        <f>Modello!H5-D80</f>
        <v>97.354240000000004</v>
      </c>
      <c r="E82" s="180">
        <f>Modello!H6-E80</f>
        <v>102.90989186067702</v>
      </c>
      <c r="F82" s="180">
        <f>Modello!H7-F80</f>
        <v>108.51661767228092</v>
      </c>
      <c r="G82" s="180">
        <f>Modello!H8-G80</f>
        <v>114.17497412958824</v>
      </c>
      <c r="H82" s="180">
        <f>Modello!H9-H80</f>
        <v>119.88552327958809</v>
      </c>
      <c r="I82" s="180">
        <f>Modello!H10-I80</f>
        <v>125.64883257235124</v>
      </c>
      <c r="J82" s="180">
        <f>Modello!H11-J80</f>
        <v>131.46547491236646</v>
      </c>
      <c r="K82" s="180">
        <f>Modello!H12-K80</f>
        <v>137.33602871035114</v>
      </c>
      <c r="L82" s="180">
        <f>Modello!H13-L80</f>
        <v>143.26107793553857</v>
      </c>
      <c r="M82" s="180">
        <f>Modello!H14-M80</f>
        <v>149.24121216844688</v>
      </c>
      <c r="N82" s="180">
        <f>Modello!H15-N80</f>
        <v>155.27702665413392</v>
      </c>
      <c r="O82" s="180">
        <f>Modello!H16-O80</f>
        <v>161.36912235594329</v>
      </c>
      <c r="P82" s="180">
        <f>Modello!H17-P80</f>
        <v>167.51810600974358</v>
      </c>
      <c r="Q82" s="180">
        <f>Modello!H18-Q80</f>
        <v>173.72459017866902</v>
      </c>
      <c r="R82" s="180">
        <f>Modello!H19-R80</f>
        <v>174.12146602631697</v>
      </c>
      <c r="S82" s="180">
        <f>Modello!H20-S80</f>
        <v>174.48320158212303</v>
      </c>
      <c r="T82" s="180">
        <f>Modello!H21-T80</f>
        <v>174.80930062087785</v>
      </c>
      <c r="U82" s="180">
        <f>Modello!H22-U80</f>
        <v>175.09926095157437</v>
      </c>
      <c r="V82" s="180">
        <f>Modello!H23-V80</f>
        <v>175.3525743545423</v>
      </c>
      <c r="W82" s="180">
        <f>Modello!H24-W80</f>
        <v>175.56872651795513</v>
      </c>
      <c r="X82" s="180">
        <f>Modello!H25-X80</f>
        <v>175.74719697370506</v>
      </c>
      <c r="Y82" s="180">
        <f>Modello!H26-Y80</f>
        <v>175.88745903263938</v>
      </c>
      <c r="Z82" s="180">
        <f>Modello!H27-Z80</f>
        <v>175.9889797191519</v>
      </c>
      <c r="AA82" s="180">
        <f>Modello!H28-AA80</f>
        <v>176.05121970512391</v>
      </c>
      <c r="AB82" s="180">
        <f>Modello!H29-AB80</f>
        <v>176.07363324320752</v>
      </c>
      <c r="AC82" s="180">
        <f>Modello!H30-AC80</f>
        <v>176.05566809944636</v>
      </c>
      <c r="AD82" s="180">
        <f>Modello!H31-AD80</f>
        <v>175.99676548522569</v>
      </c>
      <c r="AE82" s="180">
        <f>Modello!H32-AE80</f>
        <v>175.89635998854752</v>
      </c>
      <c r="AF82" s="180">
        <f>Modello!H33-AF80</f>
        <v>175.7538795046222</v>
      </c>
      <c r="AG82" s="180">
        <f>Modello!H34-AG80</f>
        <v>175.56874516577162</v>
      </c>
      <c r="AH82" s="180">
        <f>Modello!H35-AH80</f>
        <v>175.34037127063624</v>
      </c>
      <c r="AI82" s="180">
        <f>Modello!H36-AI80</f>
        <v>175.06816521268058</v>
      </c>
      <c r="AJ82" s="180">
        <f>Modello!H37-AJ80</f>
        <v>174.7515274079891</v>
      </c>
      <c r="AK82" s="180">
        <f>Modello!H38-AK80</f>
        <v>174.38985122234646</v>
      </c>
    </row>
    <row r="83" spans="1:37" x14ac:dyDescent="0.2">
      <c r="A83" s="90" t="s">
        <v>602</v>
      </c>
      <c r="B83" s="98" t="s">
        <v>523</v>
      </c>
      <c r="C83" s="90" t="s">
        <v>475</v>
      </c>
      <c r="D83" s="181">
        <f>Modello_Pess!H5-D81</f>
        <v>97.354240000000004</v>
      </c>
      <c r="E83" s="181">
        <f>Modello_Pess!H6-E81</f>
        <v>101.62935349230764</v>
      </c>
      <c r="F83" s="181">
        <f>Modello_Pess!H7-F81</f>
        <v>105.91256526876913</v>
      </c>
      <c r="G83" s="181">
        <f>Modello_Pess!H8-G81</f>
        <v>110.2039688241112</v>
      </c>
      <c r="H83" s="181">
        <f>Modello_Pess!H9-H81</f>
        <v>114.50365772423899</v>
      </c>
      <c r="I83" s="181">
        <f>Modello_Pess!H10-I81</f>
        <v>118.81172560790674</v>
      </c>
      <c r="J83" s="181">
        <f>Modello_Pess!H11-J81</f>
        <v>123.12826618838614</v>
      </c>
      <c r="K83" s="181">
        <f>Modello_Pess!H12-K81</f>
        <v>127.45337325513495</v>
      </c>
      <c r="L83" s="181">
        <f>Modello_Pess!H13-L81</f>
        <v>131.78714067546403</v>
      </c>
      <c r="M83" s="181">
        <f>Modello_Pess!H14-M81</f>
        <v>136.1296623962034</v>
      </c>
      <c r="N83" s="181">
        <f>Modello_Pess!H15-N81</f>
        <v>140.48103244536733</v>
      </c>
      <c r="O83" s="181">
        <f>Modello_Pess!H16-O81</f>
        <v>144.8413449338193</v>
      </c>
      <c r="P83" s="181">
        <f>Modello_Pess!H17-P81</f>
        <v>149.21069405693459</v>
      </c>
      <c r="Q83" s="181">
        <f>Modello_Pess!H18-Q81</f>
        <v>153.58917409626386</v>
      </c>
      <c r="R83" s="181">
        <f>Modello_Pess!H19-R81</f>
        <v>152.50375232453464</v>
      </c>
      <c r="S83" s="181">
        <f>Modello_Pess!H20-S81</f>
        <v>151.39481153471189</v>
      </c>
      <c r="T83" s="181">
        <f>Modello_Pess!H21-T81</f>
        <v>150.26229850240733</v>
      </c>
      <c r="U83" s="181">
        <f>Modello_Pess!H22-U81</f>
        <v>149.10615950495327</v>
      </c>
      <c r="V83" s="181">
        <f>Modello_Pess!H23-V81</f>
        <v>147.92634032084408</v>
      </c>
      <c r="W83" s="181">
        <f>Modello_Pess!H24-W81</f>
        <v>146.72278622917099</v>
      </c>
      <c r="X83" s="181">
        <f>Modello_Pess!H25-X81</f>
        <v>145.4954420090462</v>
      </c>
      <c r="Y83" s="181">
        <f>Modello_Pess!H26-Y81</f>
        <v>144.24425193902007</v>
      </c>
      <c r="Z83" s="181">
        <f>Modello_Pess!H27-Z81</f>
        <v>142.96915979648878</v>
      </c>
      <c r="AA83" s="181">
        <f>Modello_Pess!H28-AA81</f>
        <v>141.6701088570934</v>
      </c>
      <c r="AB83" s="181">
        <f>Modello_Pess!H29-AB81</f>
        <v>140.3470418941107</v>
      </c>
      <c r="AC83" s="181">
        <f>Modello_Pess!H30-AC81</f>
        <v>138.99990117783523</v>
      </c>
      <c r="AD83" s="181">
        <f>Modello_Pess!H31-AD81</f>
        <v>137.62862847495251</v>
      </c>
      <c r="AE83" s="181">
        <f>Modello_Pess!H32-AE81</f>
        <v>136.23316504790404</v>
      </c>
      <c r="AF83" s="181">
        <f>Modello_Pess!H33-AF81</f>
        <v>134.81345165424338</v>
      </c>
      <c r="AG83" s="181">
        <f>Modello_Pess!H34-AG81</f>
        <v>133.36942854598362</v>
      </c>
      <c r="AH83" s="181">
        <f>Modello_Pess!H35-AH81</f>
        <v>131.90103546893653</v>
      </c>
      <c r="AI83" s="181">
        <f>Modello_Pess!H36-AI81</f>
        <v>130.40821166204265</v>
      </c>
      <c r="AJ83" s="181">
        <f>Modello_Pess!H37-AJ81</f>
        <v>128.89089585669325</v>
      </c>
      <c r="AK83" s="181">
        <f>Modello_Pess!H38-AK81</f>
        <v>127.34902627604336</v>
      </c>
    </row>
    <row r="84" spans="1:37" x14ac:dyDescent="0.2">
      <c r="A84" s="98" t="s">
        <v>603</v>
      </c>
      <c r="B84" s="98" t="s">
        <v>502</v>
      </c>
      <c r="C84" s="98" t="s">
        <v>474</v>
      </c>
      <c r="D84" s="94">
        <f>D82/Modello!F5</f>
        <v>4.3520000000000003E-2</v>
      </c>
      <c r="E84" s="94">
        <f>E82/Modello!F6</f>
        <v>4.5638420512820556E-2</v>
      </c>
      <c r="F84" s="94">
        <f>F82/Modello!F7</f>
        <v>4.7742944541514051E-2</v>
      </c>
      <c r="G84" s="94">
        <f>G82/Modello!F8</f>
        <v>4.9833723872082819E-2</v>
      </c>
      <c r="H84" s="94">
        <f>H82/Modello!F9</f>
        <v>5.1910908632628337E-2</v>
      </c>
      <c r="I84" s="94">
        <f>I82/Modello!F10</f>
        <v>5.3974647311460171E-2</v>
      </c>
      <c r="J84" s="94">
        <f>J82/Modello!F11</f>
        <v>5.6025086775006498E-2</v>
      </c>
      <c r="K84" s="94">
        <f>K82/Modello!F12</f>
        <v>5.8062372285529497E-2</v>
      </c>
      <c r="L84" s="94">
        <f>L82/Modello!F13</f>
        <v>6.0086647518647035E-2</v>
      </c>
      <c r="M84" s="94">
        <f>M82/Modello!F14</f>
        <v>6.2098054580662927E-2</v>
      </c>
      <c r="N84" s="94">
        <f>N82/Modello!F15</f>
        <v>6.4096734025707897E-2</v>
      </c>
      <c r="O84" s="94">
        <f>O82/Modello!F16</f>
        <v>6.6082824872693596E-2</v>
      </c>
      <c r="P84" s="94">
        <f>P82/Modello!F17</f>
        <v>6.8056464622080898E-2</v>
      </c>
      <c r="Q84" s="94">
        <f>Q82/Modello!F18</f>
        <v>7.0017789272465658E-2</v>
      </c>
      <c r="R84" s="94">
        <f>R82/Modello!F19</f>
        <v>6.9620779490828913E-2</v>
      </c>
      <c r="S84" s="94">
        <f>S82/Modello!F20</f>
        <v>6.9211722167223724E-2</v>
      </c>
      <c r="T84" s="94">
        <f>T82/Modello!F21</f>
        <v>6.8790748892361489E-2</v>
      </c>
      <c r="U84" s="94">
        <f>U82/Modello!F22</f>
        <v>6.8357989819638365E-2</v>
      </c>
      <c r="V84" s="94">
        <f>V82/Modello!F23</f>
        <v>6.7913573680834574E-2</v>
      </c>
      <c r="W84" s="94">
        <f>W82/Modello!F24</f>
        <v>6.7457627801642134E-2</v>
      </c>
      <c r="X84" s="94">
        <f>X82/Modello!F25</f>
        <v>6.6990278117023017E-2</v>
      </c>
      <c r="Y84" s="94">
        <f>Y82/Modello!F26</f>
        <v>6.6511649186399596E-2</v>
      </c>
      <c r="Z84" s="94">
        <f>Z82/Modello!F27</f>
        <v>6.6021864208679087E-2</v>
      </c>
      <c r="AA84" s="94">
        <f>AA82/Modello!F28</f>
        <v>6.5521045037114062E-2</v>
      </c>
      <c r="AB84" s="94">
        <f>AB82/Modello!F29</f>
        <v>6.5009312194000329E-2</v>
      </c>
      <c r="AC84" s="94">
        <f>AC82/Modello!F30</f>
        <v>6.4486784885214685E-2</v>
      </c>
      <c r="AD84" s="94">
        <f>AD82/Modello!F31</f>
        <v>6.3953581014593433E-2</v>
      </c>
      <c r="AE84" s="94">
        <f>AE82/Modello!F32</f>
        <v>6.3409817198154278E-2</v>
      </c>
      <c r="AF84" s="94">
        <f>AF82/Modello!F33</f>
        <v>6.2855608778162528E-2</v>
      </c>
      <c r="AG84" s="94">
        <f>AG82/Modello!F34</f>
        <v>6.2291069837043911E-2</v>
      </c>
      <c r="AH84" s="94">
        <f>AH82/Modello!F35</f>
        <v>6.1716313211145235E-2</v>
      </c>
      <c r="AI84" s="94">
        <f>AI82/Modello!F36</f>
        <v>6.1131450504344917E-2</v>
      </c>
      <c r="AJ84" s="94">
        <f>AJ82/Modello!F37</f>
        <v>6.0536592101514727E-2</v>
      </c>
      <c r="AK84" s="94">
        <f>AK82/Modello!F38</f>
        <v>5.9931847181834488E-2</v>
      </c>
    </row>
    <row r="85" spans="1:37" x14ac:dyDescent="0.2">
      <c r="A85" s="90" t="s">
        <v>603</v>
      </c>
      <c r="B85" s="90" t="s">
        <v>502</v>
      </c>
      <c r="C85" s="90" t="s">
        <v>475</v>
      </c>
      <c r="D85" s="88">
        <f>D83/Modello_Pess!F5</f>
        <v>4.3520000000000003E-2</v>
      </c>
      <c r="E85" s="88">
        <f>E83/Modello_Pess!F6</f>
        <v>4.5295206687629402E-2</v>
      </c>
      <c r="F85" s="88">
        <f>F83/Modello_Pess!F7</f>
        <v>4.7063003183103462E-2</v>
      </c>
      <c r="G85" s="88">
        <f>G83/Modello_Pess!F8</f>
        <v>4.8823448590646773E-2</v>
      </c>
      <c r="H85" s="88">
        <f>H83/Modello_Pess!F9</f>
        <v>5.0576601543064308E-2</v>
      </c>
      <c r="I85" s="88">
        <f>I83/Modello_Pess!F10</f>
        <v>5.2322520205501731E-2</v>
      </c>
      <c r="J85" s="88">
        <f>J83/Modello_Pess!F11</f>
        <v>5.4061262279175161E-2</v>
      </c>
      <c r="K85" s="88">
        <f>K83/Modello_Pess!F12</f>
        <v>5.5792885005071749E-2</v>
      </c>
      <c r="L85" s="88">
        <f>L83/Modello_Pess!F13</f>
        <v>5.7517445167620453E-2</v>
      </c>
      <c r="M85" s="88">
        <f>M83/Modello_Pess!F14</f>
        <v>5.9234999098333518E-2</v>
      </c>
      <c r="N85" s="88">
        <f>N83/Modello_Pess!F15</f>
        <v>6.0945602679418939E-2</v>
      </c>
      <c r="O85" s="88">
        <f>O83/Modello_Pess!F16</f>
        <v>6.2649311347364373E-2</v>
      </c>
      <c r="P85" s="88">
        <f>P83/Modello_Pess!F17</f>
        <v>6.4346180096491887E-2</v>
      </c>
      <c r="Q85" s="88">
        <f>Q83/Modello_Pess!F18</f>
        <v>6.603626348248505E-2</v>
      </c>
      <c r="R85" s="88">
        <f>R83/Modello_Pess!F19</f>
        <v>6.5373461779733397E-2</v>
      </c>
      <c r="S85" s="88">
        <f>S83/Modello_Pess!F20</f>
        <v>6.4703982523264925E-2</v>
      </c>
      <c r="T85" s="88">
        <f>T83/Modello_Pess!F21</f>
        <v>6.4027878973727373E-2</v>
      </c>
      <c r="U85" s="88">
        <f>U83/Modello_Pess!F22</f>
        <v>6.3345203966957878E-2</v>
      </c>
      <c r="V85" s="88">
        <f>V83/Modello_Pess!F23</f>
        <v>6.2656009917370942E-2</v>
      </c>
      <c r="W85" s="88">
        <f>W83/Modello_Pess!F24</f>
        <v>6.1960348821320135E-2</v>
      </c>
      <c r="X85" s="88">
        <f>X83/Modello_Pess!F25</f>
        <v>6.1258272260432213E-2</v>
      </c>
      <c r="Y85" s="88">
        <f>Y83/Modello_Pess!F26</f>
        <v>6.0549831404915287E-2</v>
      </c>
      <c r="Z85" s="88">
        <f>Z83/Modello_Pess!F27</f>
        <v>5.9835077016840189E-2</v>
      </c>
      <c r="AA85" s="88">
        <f>AA83/Modello_Pess!F28</f>
        <v>5.9114059453395797E-2</v>
      </c>
      <c r="AB85" s="88">
        <f>AB83/Modello_Pess!F29</f>
        <v>5.8386828670118456E-2</v>
      </c>
      <c r="AC85" s="88">
        <f>AC83/Modello_Pess!F30</f>
        <v>5.7653434224095572E-2</v>
      </c>
      <c r="AD85" s="88">
        <f>AD83/Modello_Pess!F31</f>
        <v>5.6913925277143645E-2</v>
      </c>
      <c r="AE85" s="88">
        <f>AE83/Modello_Pess!F32</f>
        <v>5.6168350598961025E-2</v>
      </c>
      <c r="AF85" s="88">
        <f>AF83/Modello_Pess!F33</f>
        <v>5.5416758570255444E-2</v>
      </c>
      <c r="AG85" s="88">
        <f>AG83/Modello_Pess!F34</f>
        <v>5.4659197185846616E-2</v>
      </c>
      <c r="AH85" s="88">
        <f>AH83/Modello_Pess!F35</f>
        <v>5.3895714057744147E-2</v>
      </c>
      <c r="AI85" s="88">
        <f>AI83/Modello_Pess!F36</f>
        <v>5.3126356418200814E-2</v>
      </c>
      <c r="AJ85" s="88">
        <f>AJ83/Modello_Pess!F37</f>
        <v>5.2351171122741576E-2</v>
      </c>
      <c r="AK85" s="88">
        <f>AK83/Modello_Pess!F38</f>
        <v>5.1570204653168361E-2</v>
      </c>
    </row>
    <row r="87" spans="1:37" x14ac:dyDescent="0.2">
      <c r="A87" s="57" t="s">
        <v>604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 spans="1:37" x14ac:dyDescent="0.2">
      <c r="A88" s="61" t="s">
        <v>517</v>
      </c>
      <c r="B88" s="62" t="s">
        <v>474</v>
      </c>
      <c r="C88" s="62" t="s">
        <v>475</v>
      </c>
      <c r="D88" s="62" t="s">
        <v>4</v>
      </c>
      <c r="E88" s="62" t="s">
        <v>605</v>
      </c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</row>
    <row r="89" spans="1:37" x14ac:dyDescent="0.2">
      <c r="A89" s="69" t="s">
        <v>606</v>
      </c>
      <c r="B89" s="70">
        <f>Modello!F5</f>
        <v>2237</v>
      </c>
      <c r="C89" s="70">
        <f>Modello_Pess!F5</f>
        <v>2237</v>
      </c>
      <c r="D89" s="71" t="s">
        <v>523</v>
      </c>
      <c r="E89" s="71" t="s">
        <v>607</v>
      </c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</row>
    <row r="90" spans="1:37" x14ac:dyDescent="0.2">
      <c r="A90" s="73" t="s">
        <v>608</v>
      </c>
      <c r="B90" s="74">
        <f>Modello!F38</f>
        <v>2909.8027079533185</v>
      </c>
      <c r="C90" s="74">
        <f>Modello_Pess!F38</f>
        <v>2469.4303063662423</v>
      </c>
      <c r="D90" s="75" t="s">
        <v>523</v>
      </c>
      <c r="E90" s="75" t="s">
        <v>609</v>
      </c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 spans="1:37" x14ac:dyDescent="0.2">
      <c r="A91" s="69" t="s">
        <v>610</v>
      </c>
      <c r="B91" s="77">
        <f>Parametri!$B$20</f>
        <v>8.0000000000000002E-3</v>
      </c>
      <c r="C91" s="70">
        <f>Parametri!$B$129</f>
        <v>3.0000000000000001E-3</v>
      </c>
      <c r="D91" s="71" t="s">
        <v>520</v>
      </c>
      <c r="E91" s="71" t="s">
        <v>611</v>
      </c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</row>
    <row r="92" spans="1:37" x14ac:dyDescent="0.2">
      <c r="A92" s="73" t="s">
        <v>612</v>
      </c>
      <c r="B92" s="78">
        <f>Parametri!$B$22</f>
        <v>2E-3</v>
      </c>
      <c r="C92" s="74">
        <f>Parametri!$B$130</f>
        <v>0</v>
      </c>
      <c r="D92" s="75" t="s">
        <v>520</v>
      </c>
      <c r="E92" s="75" t="s">
        <v>611</v>
      </c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</row>
    <row r="93" spans="1:37" x14ac:dyDescent="0.2">
      <c r="A93" s="69" t="s">
        <v>613</v>
      </c>
      <c r="B93" s="70">
        <f>SUM(Modello!AE5:AE38)</f>
        <v>1395.6333968917886</v>
      </c>
      <c r="C93" s="70">
        <f>SUM(Modello_Pess!AE5:AE38)</f>
        <v>1427.8558559700707</v>
      </c>
      <c r="D93" s="71" t="s">
        <v>523</v>
      </c>
      <c r="E93" s="71" t="s">
        <v>614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</row>
    <row r="94" spans="1:37" x14ac:dyDescent="0.2">
      <c r="A94" s="73" t="s">
        <v>615</v>
      </c>
      <c r="B94" s="74">
        <f>Modello!AF38</f>
        <v>1395.6333968917886</v>
      </c>
      <c r="C94" s="74">
        <f>Modello_Pess!AF38</f>
        <v>1427.8558559700707</v>
      </c>
      <c r="D94" s="75" t="s">
        <v>523</v>
      </c>
      <c r="E94" s="75" t="s">
        <v>616</v>
      </c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</row>
    <row r="95" spans="1:37" x14ac:dyDescent="0.2">
      <c r="A95" s="69" t="s">
        <v>617</v>
      </c>
      <c r="B95" s="70">
        <f>SUM(Modello!Z5:Z38)</f>
        <v>125.92500237337541</v>
      </c>
      <c r="C95" s="70">
        <f>SUM(Modello_Pess!Z5:Z38)</f>
        <v>123.23790794080436</v>
      </c>
      <c r="D95" s="71" t="s">
        <v>523</v>
      </c>
      <c r="E95" s="71" t="s">
        <v>618</v>
      </c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</row>
    <row r="96" spans="1:37" x14ac:dyDescent="0.2">
      <c r="A96" s="73" t="s">
        <v>619</v>
      </c>
      <c r="B96" s="74">
        <f>MAX(Modello!AB5:AB38)</f>
        <v>105.29073690079696</v>
      </c>
      <c r="C96" s="74">
        <f>MAX(Modello_Pess!AB5:AB38)</f>
        <v>102.69626692571428</v>
      </c>
      <c r="D96" s="75" t="s">
        <v>523</v>
      </c>
      <c r="E96" s="75" t="s">
        <v>620</v>
      </c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</row>
    <row r="97" spans="1:37" x14ac:dyDescent="0.2">
      <c r="A97" s="69" t="s">
        <v>621</v>
      </c>
      <c r="B97" s="77">
        <f>MAX(Modello!AB5:AB38)/INDEX(Modello!F5:F38,MATCH(MAX(Modello!AB5:AB38),Modello!AB5:AB38,0))</f>
        <v>4.0455173775428684E-2</v>
      </c>
      <c r="C97" s="77">
        <f>MAX(Modello_Pess!AB5:AB38)/INDEX(Modello_Pess!F5:F38,MATCH(MAX(Modello_Pess!AB5:AB38),Modello_Pess!AB5:AB38,0))</f>
        <v>4.3368154905577758E-2</v>
      </c>
      <c r="D97" s="71" t="s">
        <v>502</v>
      </c>
      <c r="E97" s="71" t="s">
        <v>622</v>
      </c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</row>
    <row r="98" spans="1:37" x14ac:dyDescent="0.2">
      <c r="A98" s="73" t="s">
        <v>623</v>
      </c>
      <c r="B98" s="78">
        <f>Modello!K5</f>
        <v>0.15581629611086278</v>
      </c>
      <c r="C98" s="78">
        <f>Modello_Pess!K5</f>
        <v>0.15581629611086278</v>
      </c>
      <c r="D98" s="75" t="s">
        <v>502</v>
      </c>
      <c r="E98" s="75" t="s">
        <v>624</v>
      </c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</row>
    <row r="99" spans="1:37" x14ac:dyDescent="0.2">
      <c r="A99" s="69" t="s">
        <v>625</v>
      </c>
      <c r="B99" s="77">
        <f>Modello!K38</f>
        <v>0.10929687357825921</v>
      </c>
      <c r="C99" s="77">
        <f>Modello_Pess!K38</f>
        <v>0.10260582015020982</v>
      </c>
      <c r="D99" s="71" t="s">
        <v>502</v>
      </c>
      <c r="E99" s="71" t="s">
        <v>626</v>
      </c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</row>
    <row r="100" spans="1:37" x14ac:dyDescent="0.2">
      <c r="A100" s="73" t="s">
        <v>627</v>
      </c>
      <c r="B100" s="78">
        <f>Modello!I38-Modello!K38</f>
        <v>3.1703126421740779E-2</v>
      </c>
      <c r="C100" s="78">
        <f>Modello!I38-Modello_Pess!K38</f>
        <v>3.8394179849790169E-2</v>
      </c>
      <c r="D100" s="75" t="s">
        <v>512</v>
      </c>
      <c r="E100" s="75" t="s">
        <v>628</v>
      </c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 spans="1:37" x14ac:dyDescent="0.2">
      <c r="A101" s="69" t="s">
        <v>629</v>
      </c>
      <c r="B101" s="70">
        <f>Dinamica!AK39</f>
        <v>1474.8862579973588</v>
      </c>
      <c r="C101" s="70">
        <f>Dinamica_Pess!AK39</f>
        <v>1421.7583871950635</v>
      </c>
      <c r="D101" s="71" t="s">
        <v>523</v>
      </c>
      <c r="E101" s="71" t="s">
        <v>630</v>
      </c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</row>
    <row r="102" spans="1:37" x14ac:dyDescent="0.2">
      <c r="A102" s="73" t="s">
        <v>631</v>
      </c>
      <c r="B102" s="78">
        <f>Dinamica!AK39/Modello!F38</f>
        <v>0.50686813025710475</v>
      </c>
      <c r="C102" s="78">
        <f>Dinamica_Pess!AK39/Modello_Pess!F38</f>
        <v>0.5757434755416021</v>
      </c>
      <c r="D102" s="75" t="s">
        <v>502</v>
      </c>
      <c r="E102" s="75" t="s">
        <v>632</v>
      </c>
      <c r="G102" s="76"/>
      <c r="H102" s="76"/>
      <c r="I102" s="76"/>
    </row>
    <row r="104" spans="1:37" x14ac:dyDescent="0.2">
      <c r="A104" s="117"/>
    </row>
    <row r="105" spans="1:37" x14ac:dyDescent="0.2">
      <c r="A105" s="117"/>
      <c r="C105" s="117"/>
      <c r="D105" s="117"/>
    </row>
    <row r="106" spans="1:37" x14ac:dyDescent="0.2">
      <c r="C106" s="79"/>
    </row>
    <row r="107" spans="1:37" x14ac:dyDescent="0.2">
      <c r="C107" s="79"/>
    </row>
    <row r="108" spans="1:37" x14ac:dyDescent="0.2">
      <c r="C108" s="79"/>
    </row>
    <row r="109" spans="1:37" x14ac:dyDescent="0.2">
      <c r="C109" s="79"/>
    </row>
  </sheetData>
  <conditionalFormatting sqref="D9:AK10">
    <cfRule type="colorScale" priority="2">
      <colorScale>
        <cfvo type="num" val="0"/>
        <cfvo type="num" val="0.02"/>
        <cfvo type="num" val="0.05"/>
        <color rgb="FFFFC7CE"/>
        <color rgb="FFFFEB9C"/>
        <color rgb="FFC6EFCE"/>
      </colorScale>
    </cfRule>
  </conditionalFormatting>
  <conditionalFormatting sqref="D11:AK12">
    <cfRule type="colorScale" priority="3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4"/>
  <sheetViews>
    <sheetView workbookViewId="0">
      <pane xSplit="1" ySplit="2" topLeftCell="B15" activePane="bottomRight" state="frozen"/>
      <selection pane="topRight"/>
      <selection pane="bottomLeft"/>
      <selection pane="bottomRight" activeCell="D9" sqref="D9"/>
    </sheetView>
  </sheetViews>
  <sheetFormatPr baseColWidth="10" defaultColWidth="8.83203125" defaultRowHeight="15" x14ac:dyDescent="0.2"/>
  <cols>
    <col min="1" max="1" width="4" customWidth="1"/>
    <col min="2" max="2" width="44" customWidth="1"/>
    <col min="3" max="3" width="10" customWidth="1"/>
    <col min="4" max="4" width="46" customWidth="1"/>
    <col min="5" max="5" width="18" customWidth="1"/>
    <col min="6" max="6" width="12" customWidth="1"/>
    <col min="7" max="7" width="56" customWidth="1"/>
  </cols>
  <sheetData>
    <row r="1" spans="1:7" ht="22" customHeight="1" x14ac:dyDescent="0.2">
      <c r="A1" s="171" t="s">
        <v>633</v>
      </c>
      <c r="B1" s="172"/>
      <c r="C1" s="172"/>
      <c r="D1" s="172"/>
      <c r="E1" s="172"/>
      <c r="F1" s="172"/>
      <c r="G1" s="172"/>
    </row>
    <row r="2" spans="1:7" ht="18" customHeight="1" x14ac:dyDescent="0.2">
      <c r="A2" s="159" t="s">
        <v>634</v>
      </c>
      <c r="B2" s="159" t="s">
        <v>635</v>
      </c>
      <c r="C2" s="159" t="s">
        <v>355</v>
      </c>
      <c r="D2" s="159" t="s">
        <v>636</v>
      </c>
      <c r="E2" s="159" t="s">
        <v>637</v>
      </c>
      <c r="F2" s="159" t="s">
        <v>638</v>
      </c>
      <c r="G2" s="159" t="s">
        <v>639</v>
      </c>
    </row>
    <row r="3" spans="1:7" ht="42" customHeight="1" x14ac:dyDescent="0.2">
      <c r="A3" s="160">
        <v>1</v>
      </c>
      <c r="B3" s="161" t="s">
        <v>640</v>
      </c>
      <c r="C3" s="173" t="s">
        <v>641</v>
      </c>
      <c r="D3" s="161" t="s">
        <v>642</v>
      </c>
      <c r="E3" s="162" t="s">
        <v>643</v>
      </c>
      <c r="F3" s="163" t="s">
        <v>644</v>
      </c>
      <c r="G3" s="164" t="s">
        <v>645</v>
      </c>
    </row>
    <row r="4" spans="1:7" ht="42" customHeight="1" x14ac:dyDescent="0.2">
      <c r="A4" s="165">
        <v>2</v>
      </c>
      <c r="B4" s="166" t="s">
        <v>646</v>
      </c>
      <c r="C4" s="174" t="s">
        <v>641</v>
      </c>
      <c r="D4" s="166" t="s">
        <v>647</v>
      </c>
      <c r="E4" s="162" t="s">
        <v>643</v>
      </c>
      <c r="F4" s="167" t="s">
        <v>648</v>
      </c>
      <c r="G4" s="168" t="s">
        <v>649</v>
      </c>
    </row>
    <row r="5" spans="1:7" ht="42" customHeight="1" x14ac:dyDescent="0.2">
      <c r="A5" s="160">
        <v>3</v>
      </c>
      <c r="B5" s="161" t="s">
        <v>650</v>
      </c>
      <c r="C5" s="173" t="s">
        <v>651</v>
      </c>
      <c r="D5" s="161" t="s">
        <v>652</v>
      </c>
      <c r="E5" s="162" t="s">
        <v>643</v>
      </c>
      <c r="F5" s="163" t="s">
        <v>654</v>
      </c>
      <c r="G5" s="164" t="s">
        <v>655</v>
      </c>
    </row>
    <row r="6" spans="1:7" ht="42" customHeight="1" x14ac:dyDescent="0.2">
      <c r="A6" s="165">
        <v>4</v>
      </c>
      <c r="B6" s="166" t="s">
        <v>656</v>
      </c>
      <c r="C6" s="174" t="s">
        <v>651</v>
      </c>
      <c r="D6" s="166" t="s">
        <v>657</v>
      </c>
      <c r="E6" s="162" t="s">
        <v>643</v>
      </c>
      <c r="F6" s="167" t="s">
        <v>658</v>
      </c>
      <c r="G6" s="168" t="s">
        <v>659</v>
      </c>
    </row>
    <row r="7" spans="1:7" ht="42" customHeight="1" x14ac:dyDescent="0.2">
      <c r="A7" s="160">
        <v>5</v>
      </c>
      <c r="B7" s="161" t="s">
        <v>660</v>
      </c>
      <c r="C7" s="173" t="s">
        <v>651</v>
      </c>
      <c r="D7" s="161" t="s">
        <v>661</v>
      </c>
      <c r="E7" s="162" t="s">
        <v>643</v>
      </c>
      <c r="F7" s="163" t="s">
        <v>662</v>
      </c>
      <c r="G7" s="164" t="s">
        <v>663</v>
      </c>
    </row>
    <row r="8" spans="1:7" ht="42" customHeight="1" x14ac:dyDescent="0.2">
      <c r="A8" s="165">
        <v>6</v>
      </c>
      <c r="B8" s="166" t="s">
        <v>664</v>
      </c>
      <c r="C8" s="174" t="s">
        <v>651</v>
      </c>
      <c r="D8" s="166" t="s">
        <v>665</v>
      </c>
      <c r="E8" s="162" t="s">
        <v>643</v>
      </c>
      <c r="F8" s="167" t="s">
        <v>666</v>
      </c>
      <c r="G8" s="168" t="s">
        <v>667</v>
      </c>
    </row>
    <row r="9" spans="1:7" ht="42" customHeight="1" x14ac:dyDescent="0.2">
      <c r="A9" s="160">
        <v>7</v>
      </c>
      <c r="B9" s="161" t="s">
        <v>668</v>
      </c>
      <c r="C9" s="173" t="s">
        <v>651</v>
      </c>
      <c r="D9" s="161" t="s">
        <v>669</v>
      </c>
      <c r="E9" s="162" t="s">
        <v>643</v>
      </c>
      <c r="F9" s="163" t="s">
        <v>670</v>
      </c>
      <c r="G9" s="164" t="s">
        <v>671</v>
      </c>
    </row>
    <row r="10" spans="1:7" ht="42" customHeight="1" x14ac:dyDescent="0.2">
      <c r="A10" s="165">
        <v>8</v>
      </c>
      <c r="B10" s="166" t="s">
        <v>672</v>
      </c>
      <c r="C10" s="174" t="s">
        <v>651</v>
      </c>
      <c r="D10" s="166" t="s">
        <v>673</v>
      </c>
      <c r="E10" s="162" t="s">
        <v>643</v>
      </c>
      <c r="F10" s="167" t="s">
        <v>674</v>
      </c>
      <c r="G10" s="168" t="s">
        <v>675</v>
      </c>
    </row>
    <row r="11" spans="1:7" ht="42" customHeight="1" x14ac:dyDescent="0.2">
      <c r="A11" s="160">
        <v>9</v>
      </c>
      <c r="B11" s="161" t="s">
        <v>676</v>
      </c>
      <c r="C11" s="173" t="s">
        <v>651</v>
      </c>
      <c r="D11" s="161" t="s">
        <v>677</v>
      </c>
      <c r="E11" s="162" t="s">
        <v>643</v>
      </c>
      <c r="F11" s="163" t="s">
        <v>678</v>
      </c>
      <c r="G11" s="164" t="s">
        <v>679</v>
      </c>
    </row>
    <row r="12" spans="1:7" ht="42" customHeight="1" x14ac:dyDescent="0.2">
      <c r="A12" s="165">
        <v>10</v>
      </c>
      <c r="B12" s="166" t="s">
        <v>680</v>
      </c>
      <c r="C12" s="174" t="s">
        <v>651</v>
      </c>
      <c r="D12" s="166" t="s">
        <v>681</v>
      </c>
      <c r="E12" s="162" t="s">
        <v>643</v>
      </c>
      <c r="F12" s="167" t="s">
        <v>682</v>
      </c>
      <c r="G12" s="168" t="s">
        <v>683</v>
      </c>
    </row>
    <row r="13" spans="1:7" ht="42" customHeight="1" x14ac:dyDescent="0.2">
      <c r="A13" s="160">
        <v>11</v>
      </c>
      <c r="B13" s="161" t="s">
        <v>684</v>
      </c>
      <c r="C13" s="173" t="s">
        <v>685</v>
      </c>
      <c r="D13" s="161" t="s">
        <v>686</v>
      </c>
      <c r="E13" s="162" t="s">
        <v>643</v>
      </c>
      <c r="F13" s="163" t="s">
        <v>687</v>
      </c>
      <c r="G13" s="164" t="s">
        <v>688</v>
      </c>
    </row>
    <row r="14" spans="1:7" ht="42" customHeight="1" x14ac:dyDescent="0.2">
      <c r="A14" s="165">
        <v>12</v>
      </c>
      <c r="B14" s="166" t="s">
        <v>689</v>
      </c>
      <c r="C14" s="174" t="s">
        <v>685</v>
      </c>
      <c r="D14" s="166" t="s">
        <v>690</v>
      </c>
      <c r="E14" s="162" t="s">
        <v>643</v>
      </c>
      <c r="F14" s="167" t="s">
        <v>691</v>
      </c>
      <c r="G14" s="168" t="s">
        <v>692</v>
      </c>
    </row>
    <row r="15" spans="1:7" ht="42" customHeight="1" x14ac:dyDescent="0.2">
      <c r="A15" s="160">
        <v>13</v>
      </c>
      <c r="B15" s="161" t="s">
        <v>91</v>
      </c>
      <c r="C15" s="173" t="s">
        <v>685</v>
      </c>
      <c r="D15" s="161" t="s">
        <v>693</v>
      </c>
      <c r="E15" s="162" t="s">
        <v>643</v>
      </c>
      <c r="F15" s="163" t="s">
        <v>694</v>
      </c>
      <c r="G15" s="164" t="s">
        <v>695</v>
      </c>
    </row>
    <row r="16" spans="1:7" ht="42" customHeight="1" x14ac:dyDescent="0.2">
      <c r="A16" s="165">
        <v>14</v>
      </c>
      <c r="B16" s="166" t="s">
        <v>696</v>
      </c>
      <c r="C16" s="174" t="s">
        <v>685</v>
      </c>
      <c r="D16" s="166" t="s">
        <v>697</v>
      </c>
      <c r="E16" s="162" t="s">
        <v>643</v>
      </c>
      <c r="F16" s="167" t="s">
        <v>698</v>
      </c>
      <c r="G16" s="168" t="s">
        <v>699</v>
      </c>
    </row>
    <row r="17" spans="1:7" ht="42" customHeight="1" x14ac:dyDescent="0.2">
      <c r="A17" s="160">
        <v>15</v>
      </c>
      <c r="B17" s="161" t="s">
        <v>700</v>
      </c>
      <c r="C17" s="173" t="s">
        <v>685</v>
      </c>
      <c r="D17" s="161" t="s">
        <v>701</v>
      </c>
      <c r="E17" s="169" t="s">
        <v>653</v>
      </c>
      <c r="F17" s="163" t="s">
        <v>702</v>
      </c>
      <c r="G17" s="164" t="s">
        <v>703</v>
      </c>
    </row>
    <row r="18" spans="1:7" ht="42" customHeight="1" x14ac:dyDescent="0.2">
      <c r="A18" s="165">
        <v>16</v>
      </c>
      <c r="B18" s="166" t="s">
        <v>704</v>
      </c>
      <c r="C18" s="174" t="s">
        <v>685</v>
      </c>
      <c r="D18" s="166" t="s">
        <v>705</v>
      </c>
      <c r="E18" s="162" t="s">
        <v>643</v>
      </c>
      <c r="F18" s="167" t="s">
        <v>706</v>
      </c>
      <c r="G18" s="168" t="s">
        <v>707</v>
      </c>
    </row>
    <row r="19" spans="1:7" ht="42" customHeight="1" x14ac:dyDescent="0.2">
      <c r="A19" s="160">
        <v>17</v>
      </c>
      <c r="B19" s="161" t="s">
        <v>708</v>
      </c>
      <c r="C19" s="173" t="s">
        <v>685</v>
      </c>
      <c r="D19" s="161" t="s">
        <v>709</v>
      </c>
      <c r="E19" s="162" t="s">
        <v>643</v>
      </c>
      <c r="F19" s="163" t="s">
        <v>710</v>
      </c>
      <c r="G19" s="164" t="s">
        <v>711</v>
      </c>
    </row>
    <row r="20" spans="1:7" ht="42" customHeight="1" x14ac:dyDescent="0.2">
      <c r="A20" s="165">
        <v>18</v>
      </c>
      <c r="B20" s="166" t="s">
        <v>712</v>
      </c>
      <c r="C20" s="174" t="s">
        <v>685</v>
      </c>
      <c r="D20" s="166" t="s">
        <v>713</v>
      </c>
      <c r="E20" s="162" t="s">
        <v>643</v>
      </c>
      <c r="F20" s="167" t="s">
        <v>714</v>
      </c>
      <c r="G20" s="168" t="s">
        <v>715</v>
      </c>
    </row>
    <row r="21" spans="1:7" ht="42" customHeight="1" x14ac:dyDescent="0.2">
      <c r="A21" s="160">
        <v>19</v>
      </c>
      <c r="B21" s="161" t="s">
        <v>716</v>
      </c>
      <c r="C21" s="173" t="s">
        <v>685</v>
      </c>
      <c r="D21" s="161" t="s">
        <v>717</v>
      </c>
      <c r="E21" s="162" t="s">
        <v>643</v>
      </c>
      <c r="F21" s="163" t="s">
        <v>718</v>
      </c>
      <c r="G21" s="164" t="s">
        <v>719</v>
      </c>
    </row>
    <row r="22" spans="1:7" ht="42" customHeight="1" x14ac:dyDescent="0.2">
      <c r="A22" s="165">
        <v>20</v>
      </c>
      <c r="B22" s="166" t="s">
        <v>720</v>
      </c>
      <c r="C22" s="174" t="s">
        <v>685</v>
      </c>
      <c r="D22" s="166" t="s">
        <v>721</v>
      </c>
      <c r="E22" s="162" t="s">
        <v>643</v>
      </c>
      <c r="F22" s="167" t="s">
        <v>722</v>
      </c>
      <c r="G22" s="168" t="s">
        <v>723</v>
      </c>
    </row>
    <row r="23" spans="1:7" ht="42" customHeight="1" x14ac:dyDescent="0.2">
      <c r="A23" s="160">
        <v>21</v>
      </c>
      <c r="B23" s="161" t="s">
        <v>724</v>
      </c>
      <c r="C23" s="173" t="s">
        <v>685</v>
      </c>
      <c r="D23" s="161" t="s">
        <v>725</v>
      </c>
      <c r="E23" s="162" t="s">
        <v>643</v>
      </c>
      <c r="F23" s="163" t="s">
        <v>726</v>
      </c>
      <c r="G23" s="164" t="s">
        <v>727</v>
      </c>
    </row>
    <row r="24" spans="1:7" ht="42" customHeight="1" x14ac:dyDescent="0.2">
      <c r="A24" s="165">
        <v>22</v>
      </c>
      <c r="B24" s="166" t="s">
        <v>728</v>
      </c>
      <c r="C24" s="174" t="s">
        <v>685</v>
      </c>
      <c r="D24" s="166" t="s">
        <v>729</v>
      </c>
      <c r="E24" s="162" t="s">
        <v>643</v>
      </c>
      <c r="F24" s="167" t="s">
        <v>730</v>
      </c>
      <c r="G24" s="168" t="s">
        <v>731</v>
      </c>
    </row>
    <row r="25" spans="1:7" ht="42" customHeight="1" x14ac:dyDescent="0.2">
      <c r="A25" s="160">
        <v>23</v>
      </c>
      <c r="B25" s="161" t="s">
        <v>732</v>
      </c>
      <c r="C25" s="173" t="s">
        <v>733</v>
      </c>
      <c r="D25" s="161" t="s">
        <v>734</v>
      </c>
      <c r="E25" s="162" t="s">
        <v>643</v>
      </c>
      <c r="F25" s="163" t="s">
        <v>735</v>
      </c>
      <c r="G25" s="164" t="s">
        <v>736</v>
      </c>
    </row>
    <row r="26" spans="1:7" ht="42" customHeight="1" x14ac:dyDescent="0.2">
      <c r="A26" s="165">
        <v>24</v>
      </c>
      <c r="B26" s="166" t="s">
        <v>737</v>
      </c>
      <c r="C26" s="174" t="s">
        <v>738</v>
      </c>
      <c r="D26" s="166" t="s">
        <v>739</v>
      </c>
      <c r="E26" s="162" t="s">
        <v>643</v>
      </c>
      <c r="F26" s="167" t="s">
        <v>740</v>
      </c>
      <c r="G26" s="168" t="s">
        <v>741</v>
      </c>
    </row>
    <row r="27" spans="1:7" ht="42" customHeight="1" x14ac:dyDescent="0.2">
      <c r="A27" s="160">
        <v>25</v>
      </c>
      <c r="B27" s="161" t="s">
        <v>742</v>
      </c>
      <c r="C27" s="173" t="s">
        <v>743</v>
      </c>
      <c r="D27" s="161" t="s">
        <v>744</v>
      </c>
      <c r="E27" s="162" t="s">
        <v>643</v>
      </c>
      <c r="F27" s="163" t="s">
        <v>745</v>
      </c>
      <c r="G27" s="164" t="s">
        <v>746</v>
      </c>
    </row>
    <row r="28" spans="1:7" ht="42" customHeight="1" x14ac:dyDescent="0.2">
      <c r="A28" s="165">
        <v>26</v>
      </c>
      <c r="B28" s="166" t="s">
        <v>747</v>
      </c>
      <c r="C28" s="174" t="s">
        <v>748</v>
      </c>
      <c r="D28" s="166" t="s">
        <v>749</v>
      </c>
      <c r="E28" s="162" t="s">
        <v>643</v>
      </c>
      <c r="F28" s="167" t="s">
        <v>750</v>
      </c>
      <c r="G28" s="168" t="s">
        <v>751</v>
      </c>
    </row>
    <row r="29" spans="1:7" ht="42" customHeight="1" x14ac:dyDescent="0.2">
      <c r="A29" s="160">
        <v>27</v>
      </c>
      <c r="B29" s="161" t="s">
        <v>752</v>
      </c>
      <c r="C29" s="173" t="s">
        <v>753</v>
      </c>
      <c r="D29" s="161" t="s">
        <v>754</v>
      </c>
      <c r="E29" s="162" t="s">
        <v>643</v>
      </c>
      <c r="F29" s="163" t="s">
        <v>755</v>
      </c>
      <c r="G29" s="164" t="s">
        <v>756</v>
      </c>
    </row>
    <row r="30" spans="1:7" ht="42" customHeight="1" x14ac:dyDescent="0.2">
      <c r="A30" s="165">
        <v>28</v>
      </c>
      <c r="B30" s="166" t="s">
        <v>757</v>
      </c>
      <c r="C30" s="174" t="s">
        <v>758</v>
      </c>
      <c r="D30" s="166" t="s">
        <v>759</v>
      </c>
      <c r="E30" s="162" t="s">
        <v>643</v>
      </c>
      <c r="F30" s="167" t="s">
        <v>760</v>
      </c>
      <c r="G30" s="168" t="s">
        <v>761</v>
      </c>
    </row>
    <row r="31" spans="1:7" ht="42" customHeight="1" x14ac:dyDescent="0.2">
      <c r="A31" s="160">
        <v>29</v>
      </c>
      <c r="B31" s="161" t="s">
        <v>762</v>
      </c>
      <c r="C31" s="173" t="s">
        <v>763</v>
      </c>
      <c r="D31" s="161" t="s">
        <v>764</v>
      </c>
      <c r="E31" s="162" t="s">
        <v>643</v>
      </c>
      <c r="F31" s="163" t="s">
        <v>765</v>
      </c>
      <c r="G31" s="164" t="s">
        <v>766</v>
      </c>
    </row>
    <row r="32" spans="1:7" ht="42" customHeight="1" x14ac:dyDescent="0.2">
      <c r="A32" s="165">
        <v>30</v>
      </c>
      <c r="B32" s="166" t="s">
        <v>767</v>
      </c>
      <c r="C32" s="174" t="s">
        <v>641</v>
      </c>
      <c r="D32" s="166" t="s">
        <v>768</v>
      </c>
      <c r="E32" s="170" t="s">
        <v>769</v>
      </c>
      <c r="F32" s="167"/>
      <c r="G32" s="168" t="s">
        <v>770</v>
      </c>
    </row>
    <row r="33" spans="1:7" ht="16" customHeight="1" x14ac:dyDescent="0.2">
      <c r="A33" s="175" t="s">
        <v>771</v>
      </c>
      <c r="B33" s="176"/>
      <c r="C33" s="176"/>
      <c r="D33" s="176"/>
      <c r="E33" s="176"/>
      <c r="F33" s="176"/>
      <c r="G33" s="176"/>
    </row>
    <row r="34" spans="1:7" ht="18" customHeight="1" x14ac:dyDescent="0.2">
      <c r="A34" s="177" t="s">
        <v>772</v>
      </c>
      <c r="B34" s="176"/>
      <c r="C34" s="176"/>
      <c r="D34" s="176"/>
      <c r="E34" s="176"/>
      <c r="F34" s="176"/>
      <c r="G34" s="17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0"/>
  <sheetViews>
    <sheetView zoomScaleNormal="100" workbookViewId="0">
      <selection sqref="A1:B1"/>
    </sheetView>
  </sheetViews>
  <sheetFormatPr baseColWidth="10" defaultColWidth="8.83203125" defaultRowHeight="15" x14ac:dyDescent="0.2"/>
  <cols>
    <col min="1" max="1" width="8" customWidth="1"/>
    <col min="2" max="2" width="90" customWidth="1"/>
  </cols>
  <sheetData>
    <row r="1" spans="1:3" ht="16.5" customHeight="1" x14ac:dyDescent="0.2">
      <c r="A1" s="182" t="s">
        <v>773</v>
      </c>
      <c r="B1" s="183"/>
    </row>
    <row r="2" spans="1:3" ht="15" customHeight="1" x14ac:dyDescent="0.2">
      <c r="A2" t="s">
        <v>774</v>
      </c>
      <c r="B2" t="s">
        <v>775</v>
      </c>
      <c r="C2" t="s">
        <v>776</v>
      </c>
    </row>
    <row r="3" spans="1:3" ht="15" customHeight="1" x14ac:dyDescent="0.2">
      <c r="A3" s="1" t="s">
        <v>634</v>
      </c>
      <c r="B3" s="1" t="s">
        <v>777</v>
      </c>
    </row>
    <row r="4" spans="1:3" ht="15" customHeight="1" x14ac:dyDescent="0.2">
      <c r="A4" s="196"/>
      <c r="B4" s="189"/>
    </row>
    <row r="5" spans="1:3" ht="15.75" customHeight="1" x14ac:dyDescent="0.2">
      <c r="A5" s="80">
        <v>1</v>
      </c>
      <c r="B5" s="81" t="s">
        <v>778</v>
      </c>
    </row>
    <row r="6" spans="1:3" ht="15.75" customHeight="1" x14ac:dyDescent="0.2">
      <c r="A6" s="82">
        <v>2</v>
      </c>
      <c r="B6" s="83" t="s">
        <v>779</v>
      </c>
    </row>
    <row r="7" spans="1:3" ht="15.75" customHeight="1" x14ac:dyDescent="0.2">
      <c r="A7" s="80">
        <v>3</v>
      </c>
      <c r="B7" s="81" t="s">
        <v>780</v>
      </c>
    </row>
    <row r="8" spans="1:3" ht="15.75" customHeight="1" x14ac:dyDescent="0.2">
      <c r="A8" s="82">
        <v>4</v>
      </c>
      <c r="B8" s="83" t="s">
        <v>781</v>
      </c>
    </row>
    <row r="9" spans="1:3" ht="15.75" customHeight="1" x14ac:dyDescent="0.2">
      <c r="A9" s="80">
        <v>5</v>
      </c>
      <c r="B9" s="81" t="s">
        <v>782</v>
      </c>
    </row>
    <row r="10" spans="1:3" ht="15.75" customHeight="1" x14ac:dyDescent="0.2">
      <c r="A10" s="82">
        <v>6</v>
      </c>
      <c r="B10" s="83" t="s">
        <v>783</v>
      </c>
    </row>
    <row r="11" spans="1:3" ht="15.75" customHeight="1" x14ac:dyDescent="0.2">
      <c r="A11" s="80">
        <v>7</v>
      </c>
      <c r="B11" s="81" t="s">
        <v>784</v>
      </c>
    </row>
    <row r="12" spans="1:3" ht="15.75" customHeight="1" x14ac:dyDescent="0.2">
      <c r="A12" s="82">
        <v>8</v>
      </c>
      <c r="B12" s="83" t="s">
        <v>785</v>
      </c>
    </row>
    <row r="13" spans="1:3" ht="15.75" customHeight="1" x14ac:dyDescent="0.2">
      <c r="A13" s="80">
        <v>9</v>
      </c>
      <c r="B13" s="81" t="s">
        <v>786</v>
      </c>
    </row>
    <row r="14" spans="1:3" ht="15.75" customHeight="1" x14ac:dyDescent="0.2">
      <c r="A14" s="82">
        <v>10</v>
      </c>
      <c r="B14" s="83" t="s">
        <v>787</v>
      </c>
    </row>
    <row r="15" spans="1:3" ht="15.75" customHeight="1" x14ac:dyDescent="0.2">
      <c r="A15" s="80">
        <v>11</v>
      </c>
      <c r="B15" s="81" t="s">
        <v>788</v>
      </c>
    </row>
    <row r="17" spans="1:2" ht="15" customHeight="1" x14ac:dyDescent="0.2">
      <c r="A17" s="196"/>
      <c r="B17" s="189"/>
    </row>
    <row r="18" spans="1:2" ht="31.5" customHeight="1" x14ac:dyDescent="0.2">
      <c r="A18" s="82">
        <v>12</v>
      </c>
      <c r="B18" s="83" t="s">
        <v>789</v>
      </c>
    </row>
    <row r="19" spans="1:2" ht="15.75" customHeight="1" x14ac:dyDescent="0.2">
      <c r="A19" s="80">
        <v>13</v>
      </c>
      <c r="B19" s="81" t="s">
        <v>790</v>
      </c>
    </row>
    <row r="20" spans="1:2" ht="15.75" customHeight="1" x14ac:dyDescent="0.2">
      <c r="A20" s="82">
        <v>14</v>
      </c>
      <c r="B20" s="83" t="s">
        <v>791</v>
      </c>
    </row>
    <row r="21" spans="1:2" ht="15.75" customHeight="1" x14ac:dyDescent="0.2">
      <c r="A21" s="80">
        <v>15</v>
      </c>
      <c r="B21" s="81" t="s">
        <v>792</v>
      </c>
    </row>
    <row r="22" spans="1:2" ht="15.75" customHeight="1" x14ac:dyDescent="0.2">
      <c r="A22" s="82">
        <v>16</v>
      </c>
      <c r="B22" s="83" t="s">
        <v>793</v>
      </c>
    </row>
    <row r="23" spans="1:2" ht="15.75" customHeight="1" x14ac:dyDescent="0.2">
      <c r="A23" s="80">
        <v>17</v>
      </c>
      <c r="B23" s="81" t="s">
        <v>794</v>
      </c>
    </row>
    <row r="25" spans="1:2" ht="15" customHeight="1" x14ac:dyDescent="0.2">
      <c r="A25" s="196"/>
      <c r="B25" s="189"/>
    </row>
    <row r="26" spans="1:2" ht="15.75" customHeight="1" x14ac:dyDescent="0.2">
      <c r="A26" s="82">
        <v>18</v>
      </c>
      <c r="B26" s="83" t="s">
        <v>795</v>
      </c>
    </row>
    <row r="27" spans="1:2" ht="15.75" customHeight="1" x14ac:dyDescent="0.2">
      <c r="A27" s="80">
        <v>19</v>
      </c>
      <c r="B27" s="81" t="s">
        <v>796</v>
      </c>
    </row>
    <row r="28" spans="1:2" ht="15.75" customHeight="1" x14ac:dyDescent="0.2">
      <c r="A28" s="82">
        <v>20</v>
      </c>
      <c r="B28" s="83" t="s">
        <v>797</v>
      </c>
    </row>
    <row r="29" spans="1:2" ht="15.75" customHeight="1" x14ac:dyDescent="0.2">
      <c r="A29" s="80">
        <v>21</v>
      </c>
      <c r="B29" s="81" t="s">
        <v>798</v>
      </c>
    </row>
    <row r="30" spans="1:2" ht="15.75" customHeight="1" x14ac:dyDescent="0.2">
      <c r="A30" s="82">
        <v>22</v>
      </c>
      <c r="B30" s="83" t="s">
        <v>799</v>
      </c>
    </row>
    <row r="32" spans="1:2" ht="15" customHeight="1" x14ac:dyDescent="0.2">
      <c r="A32" s="196"/>
      <c r="B32" s="189"/>
    </row>
    <row r="33" spans="1:2" ht="15.75" customHeight="1" x14ac:dyDescent="0.2">
      <c r="A33" s="80">
        <v>23</v>
      </c>
      <c r="B33" s="81" t="s">
        <v>800</v>
      </c>
    </row>
    <row r="34" spans="1:2" ht="15.75" customHeight="1" x14ac:dyDescent="0.2">
      <c r="A34" s="82">
        <v>24</v>
      </c>
      <c r="B34" s="83" t="s">
        <v>801</v>
      </c>
    </row>
    <row r="35" spans="1:2" ht="15.75" customHeight="1" x14ac:dyDescent="0.2">
      <c r="A35" s="80">
        <v>25</v>
      </c>
      <c r="B35" s="81" t="s">
        <v>802</v>
      </c>
    </row>
    <row r="37" spans="1:2" ht="15" customHeight="1" x14ac:dyDescent="0.2">
      <c r="A37" s="196"/>
      <c r="B37" s="189"/>
    </row>
    <row r="38" spans="1:2" ht="15.75" customHeight="1" x14ac:dyDescent="0.2">
      <c r="A38" s="82">
        <v>26</v>
      </c>
      <c r="B38" s="83" t="s">
        <v>803</v>
      </c>
    </row>
    <row r="39" spans="1:2" ht="15.75" customHeight="1" x14ac:dyDescent="0.2">
      <c r="A39" s="80">
        <v>27</v>
      </c>
      <c r="B39" s="81" t="s">
        <v>804</v>
      </c>
    </row>
    <row r="40" spans="1:2" ht="15.75" customHeight="1" x14ac:dyDescent="0.2">
      <c r="A40" s="82">
        <v>28</v>
      </c>
      <c r="B40" s="83" t="s">
        <v>805</v>
      </c>
    </row>
    <row r="42" spans="1:2" ht="15" customHeight="1" x14ac:dyDescent="0.2">
      <c r="A42" t="s">
        <v>806</v>
      </c>
      <c r="B42" t="s">
        <v>807</v>
      </c>
    </row>
    <row r="44" spans="1:2" ht="15" customHeight="1" x14ac:dyDescent="0.2">
      <c r="A44" s="84" t="s">
        <v>808</v>
      </c>
      <c r="B44" s="84" t="s">
        <v>809</v>
      </c>
    </row>
    <row r="46" spans="1:2" ht="31.5" customHeight="1" x14ac:dyDescent="0.2">
      <c r="A46">
        <v>29</v>
      </c>
      <c r="B46" s="19" t="s">
        <v>810</v>
      </c>
    </row>
    <row r="47" spans="1:2" ht="31.5" customHeight="1" x14ac:dyDescent="0.2">
      <c r="A47">
        <v>30</v>
      </c>
      <c r="B47" s="19" t="s">
        <v>811</v>
      </c>
    </row>
    <row r="48" spans="1:2" ht="31.5" customHeight="1" x14ac:dyDescent="0.2">
      <c r="A48">
        <v>31</v>
      </c>
      <c r="B48" s="19" t="s">
        <v>812</v>
      </c>
    </row>
    <row r="49" spans="1:3" ht="31.5" customHeight="1" x14ac:dyDescent="0.2">
      <c r="A49">
        <v>32</v>
      </c>
      <c r="B49" s="19" t="s">
        <v>813</v>
      </c>
    </row>
    <row r="50" spans="1:3" ht="31.5" customHeight="1" x14ac:dyDescent="0.2">
      <c r="A50">
        <v>33</v>
      </c>
      <c r="B50" s="19" t="s">
        <v>814</v>
      </c>
    </row>
    <row r="51" spans="1:3" ht="31.5" customHeight="1" x14ac:dyDescent="0.2">
      <c r="A51">
        <v>34</v>
      </c>
      <c r="B51" s="19" t="s">
        <v>815</v>
      </c>
    </row>
    <row r="52" spans="1:3" ht="31.5" customHeight="1" x14ac:dyDescent="0.2">
      <c r="A52">
        <v>35</v>
      </c>
      <c r="B52" s="19" t="s">
        <v>816</v>
      </c>
    </row>
    <row r="53" spans="1:3" ht="31.5" customHeight="1" x14ac:dyDescent="0.2">
      <c r="A53">
        <v>36</v>
      </c>
      <c r="B53" s="19" t="s">
        <v>817</v>
      </c>
    </row>
    <row r="54" spans="1:3" ht="31.5" customHeight="1" x14ac:dyDescent="0.2">
      <c r="A54">
        <v>37</v>
      </c>
      <c r="B54" s="19" t="s">
        <v>818</v>
      </c>
    </row>
    <row r="55" spans="1:3" ht="31.5" customHeight="1" x14ac:dyDescent="0.2">
      <c r="A55">
        <v>38</v>
      </c>
      <c r="B55" s="19" t="s">
        <v>819</v>
      </c>
    </row>
    <row r="56" spans="1:3" ht="15.75" customHeight="1" x14ac:dyDescent="0.2">
      <c r="A56">
        <v>39</v>
      </c>
      <c r="B56" s="19" t="s">
        <v>820</v>
      </c>
    </row>
    <row r="57" spans="1:3" ht="31.5" customHeight="1" x14ac:dyDescent="0.2">
      <c r="A57">
        <v>40</v>
      </c>
      <c r="B57" s="19" t="s">
        <v>821</v>
      </c>
    </row>
    <row r="58" spans="1:3" ht="31.5" customHeight="1" x14ac:dyDescent="0.2">
      <c r="A58">
        <v>41</v>
      </c>
      <c r="B58" s="19" t="s">
        <v>822</v>
      </c>
    </row>
    <row r="59" spans="1:3" ht="31.5" customHeight="1" x14ac:dyDescent="0.2">
      <c r="A59">
        <v>42</v>
      </c>
      <c r="B59" s="19" t="s">
        <v>823</v>
      </c>
    </row>
    <row r="60" spans="1:3" ht="48" customHeight="1" x14ac:dyDescent="0.2">
      <c r="A60">
        <v>43</v>
      </c>
      <c r="B60" s="19" t="s">
        <v>824</v>
      </c>
    </row>
    <row r="62" spans="1:3" ht="15" customHeight="1" x14ac:dyDescent="0.2">
      <c r="A62" t="s">
        <v>825</v>
      </c>
    </row>
    <row r="63" spans="1:3" ht="15" customHeight="1" x14ac:dyDescent="0.2">
      <c r="A63" t="s">
        <v>826</v>
      </c>
    </row>
    <row r="64" spans="1:3" ht="15" customHeight="1" x14ac:dyDescent="0.2">
      <c r="A64" s="85" t="s">
        <v>827</v>
      </c>
      <c r="B64" s="85" t="s">
        <v>775</v>
      </c>
      <c r="C64" s="85" t="s">
        <v>828</v>
      </c>
    </row>
    <row r="65" spans="1:3" ht="15" customHeight="1" x14ac:dyDescent="0.2">
      <c r="A65" s="85" t="s">
        <v>829</v>
      </c>
      <c r="B65" s="85" t="s">
        <v>775</v>
      </c>
      <c r="C65" s="85" t="s">
        <v>830</v>
      </c>
    </row>
    <row r="66" spans="1:3" ht="15" customHeight="1" x14ac:dyDescent="0.2">
      <c r="A66" t="s">
        <v>831</v>
      </c>
      <c r="B66" t="s">
        <v>832</v>
      </c>
      <c r="C66" t="s">
        <v>833</v>
      </c>
    </row>
    <row r="67" spans="1:3" x14ac:dyDescent="0.2">
      <c r="A67" t="s">
        <v>834</v>
      </c>
      <c r="B67" t="s">
        <v>835</v>
      </c>
      <c r="C67" t="s">
        <v>836</v>
      </c>
    </row>
    <row r="69" spans="1:3" x14ac:dyDescent="0.2">
      <c r="A69" t="s">
        <v>837</v>
      </c>
      <c r="B69" t="s">
        <v>838</v>
      </c>
      <c r="C69" t="s">
        <v>839</v>
      </c>
    </row>
    <row r="70" spans="1:3" x14ac:dyDescent="0.2">
      <c r="A70" t="s">
        <v>840</v>
      </c>
      <c r="B70" t="s">
        <v>838</v>
      </c>
      <c r="C70" t="s">
        <v>841</v>
      </c>
    </row>
  </sheetData>
  <mergeCells count="6">
    <mergeCell ref="A4:B4"/>
    <mergeCell ref="A25:B25"/>
    <mergeCell ref="A37:B37"/>
    <mergeCell ref="A32:B32"/>
    <mergeCell ref="A1:B1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Parametri</vt:lpstr>
      <vt:lpstr>Modello</vt:lpstr>
      <vt:lpstr>Dinamica</vt:lpstr>
      <vt:lpstr>Modello_Pess</vt:lpstr>
      <vt:lpstr>Dinamica_Pess</vt:lpstr>
      <vt:lpstr>2060</vt:lpstr>
      <vt:lpstr>Output</vt:lpstr>
      <vt:lpstr>Fonti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Decorte</cp:lastModifiedBy>
  <cp:revision>0</cp:revision>
  <dcterms:created xsi:type="dcterms:W3CDTF">2026-05-16T20:12:50Z</dcterms:created>
  <dcterms:modified xsi:type="dcterms:W3CDTF">2026-06-01T10:30:55Z</dcterms:modified>
  <dc:language>en-US</dc:language>
</cp:coreProperties>
</file>