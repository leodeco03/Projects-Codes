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onardodecorte/Desktop/ProgettoPensioni/"/>
    </mc:Choice>
  </mc:AlternateContent>
  <xr:revisionPtr revIDLastSave="0" documentId="13_ncr:1_{9A5F9A48-DBFB-6D41-9704-A233ABF0CA97}" xr6:coauthVersionLast="47" xr6:coauthVersionMax="47" xr10:uidLastSave="{00000000-0000-0000-0000-000000000000}"/>
  <bookViews>
    <workbookView xWindow="0" yWindow="540" windowWidth="26980" windowHeight="16280" xr2:uid="{00000000-000D-0000-FFFF-FFFF00000000}"/>
  </bookViews>
  <sheets>
    <sheet name="Parametri" sheetId="1" r:id="rId1"/>
    <sheet name="Modello" sheetId="2" r:id="rId2"/>
    <sheet name="Output" sheetId="3" r:id="rId3"/>
    <sheet name="Confronto Bertonelli" sheetId="4" r:id="rId4"/>
    <sheet name="Fonti" sheetId="5" r:id="rId5"/>
    <sheet name="Change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Z5" i="2"/>
  <c r="B18" i="3"/>
  <c r="E5" i="3"/>
  <c r="B43" i="1"/>
  <c r="B39" i="1"/>
  <c r="Y34" i="2"/>
  <c r="X34" i="2"/>
  <c r="W34" i="2"/>
  <c r="V34" i="2"/>
  <c r="U34" i="2"/>
  <c r="T34" i="2"/>
  <c r="P34" i="2"/>
  <c r="N34" i="2"/>
  <c r="L34" i="2"/>
  <c r="I34" i="2"/>
  <c r="A34" i="2"/>
  <c r="Y33" i="2"/>
  <c r="X33" i="2"/>
  <c r="W33" i="2"/>
  <c r="V33" i="2"/>
  <c r="U33" i="2"/>
  <c r="T33" i="2"/>
  <c r="P33" i="2"/>
  <c r="N33" i="2"/>
  <c r="L33" i="2"/>
  <c r="I33" i="2"/>
  <c r="A33" i="2"/>
  <c r="Y32" i="2"/>
  <c r="X32" i="2"/>
  <c r="W32" i="2"/>
  <c r="V32" i="2"/>
  <c r="U32" i="2"/>
  <c r="T32" i="2"/>
  <c r="P32" i="2"/>
  <c r="N32" i="2"/>
  <c r="L32" i="2"/>
  <c r="I32" i="2"/>
  <c r="A32" i="2"/>
  <c r="Y31" i="2"/>
  <c r="X31" i="2"/>
  <c r="W31" i="2"/>
  <c r="V31" i="2"/>
  <c r="U31" i="2"/>
  <c r="T31" i="2"/>
  <c r="P31" i="2"/>
  <c r="N31" i="2"/>
  <c r="L31" i="2"/>
  <c r="I31" i="2"/>
  <c r="A31" i="2"/>
  <c r="Y30" i="2"/>
  <c r="X30" i="2"/>
  <c r="W30" i="2"/>
  <c r="V30" i="2"/>
  <c r="U30" i="2"/>
  <c r="T30" i="2"/>
  <c r="P30" i="2"/>
  <c r="N30" i="2"/>
  <c r="L30" i="2"/>
  <c r="I30" i="2"/>
  <c r="A30" i="2"/>
  <c r="Y29" i="2"/>
  <c r="X29" i="2"/>
  <c r="W29" i="2"/>
  <c r="V29" i="2"/>
  <c r="U29" i="2"/>
  <c r="T29" i="2"/>
  <c r="P29" i="2"/>
  <c r="N29" i="2"/>
  <c r="L29" i="2"/>
  <c r="I29" i="2"/>
  <c r="F5" i="3" s="1"/>
  <c r="A29" i="2"/>
  <c r="Y28" i="2"/>
  <c r="X28" i="2"/>
  <c r="W28" i="2"/>
  <c r="V28" i="2"/>
  <c r="U28" i="2"/>
  <c r="T28" i="2"/>
  <c r="P28" i="2"/>
  <c r="N28" i="2"/>
  <c r="L28" i="2"/>
  <c r="I28" i="2"/>
  <c r="A28" i="2"/>
  <c r="Y27" i="2"/>
  <c r="X27" i="2"/>
  <c r="W27" i="2"/>
  <c r="V27" i="2"/>
  <c r="U27" i="2"/>
  <c r="T27" i="2"/>
  <c r="P27" i="2"/>
  <c r="N27" i="2"/>
  <c r="L27" i="2"/>
  <c r="I27" i="2"/>
  <c r="A27" i="2"/>
  <c r="Y26" i="2"/>
  <c r="X26" i="2"/>
  <c r="W26" i="2"/>
  <c r="V26" i="2"/>
  <c r="U26" i="2"/>
  <c r="T26" i="2"/>
  <c r="P26" i="2"/>
  <c r="N26" i="2"/>
  <c r="L26" i="2"/>
  <c r="I26" i="2"/>
  <c r="A26" i="2"/>
  <c r="Y25" i="2"/>
  <c r="X25" i="2"/>
  <c r="W25" i="2"/>
  <c r="V25" i="2"/>
  <c r="U25" i="2"/>
  <c r="T25" i="2"/>
  <c r="P25" i="2"/>
  <c r="N25" i="2"/>
  <c r="L25" i="2"/>
  <c r="I25" i="2"/>
  <c r="A25" i="2"/>
  <c r="Y24" i="2"/>
  <c r="X24" i="2"/>
  <c r="W24" i="2"/>
  <c r="V24" i="2"/>
  <c r="U24" i="2"/>
  <c r="T24" i="2"/>
  <c r="P24" i="2"/>
  <c r="N24" i="2"/>
  <c r="L24" i="2"/>
  <c r="I24" i="2"/>
  <c r="A24" i="2"/>
  <c r="Y23" i="2"/>
  <c r="X23" i="2"/>
  <c r="W23" i="2"/>
  <c r="V23" i="2"/>
  <c r="U23" i="2"/>
  <c r="T23" i="2"/>
  <c r="P23" i="2"/>
  <c r="N23" i="2"/>
  <c r="L23" i="2"/>
  <c r="I23" i="2"/>
  <c r="A23" i="2"/>
  <c r="Y22" i="2"/>
  <c r="X22" i="2"/>
  <c r="W22" i="2"/>
  <c r="V22" i="2"/>
  <c r="U22" i="2"/>
  <c r="T22" i="2"/>
  <c r="P22" i="2"/>
  <c r="N22" i="2"/>
  <c r="L22" i="2"/>
  <c r="I22" i="2"/>
  <c r="A22" i="2"/>
  <c r="Y21" i="2"/>
  <c r="X21" i="2"/>
  <c r="W21" i="2"/>
  <c r="V21" i="2"/>
  <c r="U21" i="2"/>
  <c r="T21" i="2"/>
  <c r="P21" i="2"/>
  <c r="N21" i="2"/>
  <c r="L21" i="2"/>
  <c r="I21" i="2"/>
  <c r="A21" i="2"/>
  <c r="Y20" i="2"/>
  <c r="X20" i="2"/>
  <c r="W20" i="2"/>
  <c r="V20" i="2"/>
  <c r="U20" i="2"/>
  <c r="T20" i="2"/>
  <c r="P20" i="2"/>
  <c r="N20" i="2"/>
  <c r="L20" i="2"/>
  <c r="I20" i="2"/>
  <c r="A20" i="2"/>
  <c r="Y19" i="2"/>
  <c r="X19" i="2"/>
  <c r="W19" i="2"/>
  <c r="V19" i="2"/>
  <c r="U19" i="2"/>
  <c r="T19" i="2"/>
  <c r="P19" i="2"/>
  <c r="N19" i="2"/>
  <c r="L19" i="2"/>
  <c r="I19" i="2"/>
  <c r="A19" i="2"/>
  <c r="Y18" i="2"/>
  <c r="X18" i="2"/>
  <c r="W18" i="2"/>
  <c r="V18" i="2"/>
  <c r="U18" i="2"/>
  <c r="T18" i="2"/>
  <c r="P18" i="2"/>
  <c r="N18" i="2"/>
  <c r="L18" i="2"/>
  <c r="I18" i="2"/>
  <c r="A18" i="2"/>
  <c r="Y17" i="2"/>
  <c r="X17" i="2"/>
  <c r="W17" i="2"/>
  <c r="V17" i="2"/>
  <c r="U17" i="2"/>
  <c r="T17" i="2"/>
  <c r="P17" i="2"/>
  <c r="N17" i="2"/>
  <c r="L17" i="2"/>
  <c r="I17" i="2"/>
  <c r="A17" i="2"/>
  <c r="Y16" i="2"/>
  <c r="X16" i="2"/>
  <c r="W16" i="2"/>
  <c r="V16" i="2"/>
  <c r="U16" i="2"/>
  <c r="T16" i="2"/>
  <c r="P16" i="2"/>
  <c r="N16" i="2"/>
  <c r="L16" i="2"/>
  <c r="I16" i="2"/>
  <c r="A16" i="2"/>
  <c r="Y15" i="2"/>
  <c r="X15" i="2"/>
  <c r="W15" i="2"/>
  <c r="V15" i="2"/>
  <c r="U15" i="2"/>
  <c r="T15" i="2"/>
  <c r="P15" i="2"/>
  <c r="N15" i="2"/>
  <c r="L15" i="2"/>
  <c r="I15" i="2"/>
  <c r="A15" i="2"/>
  <c r="Y14" i="2"/>
  <c r="X14" i="2"/>
  <c r="W14" i="2"/>
  <c r="V14" i="2"/>
  <c r="U14" i="2"/>
  <c r="T14" i="2"/>
  <c r="P14" i="2"/>
  <c r="N14" i="2"/>
  <c r="L14" i="2"/>
  <c r="I14" i="2"/>
  <c r="D5" i="3" s="1"/>
  <c r="A14" i="2"/>
  <c r="Y13" i="2"/>
  <c r="X13" i="2"/>
  <c r="W13" i="2"/>
  <c r="V13" i="2"/>
  <c r="U13" i="2"/>
  <c r="T13" i="2"/>
  <c r="P13" i="2"/>
  <c r="N13" i="2"/>
  <c r="L13" i="2"/>
  <c r="I13" i="2"/>
  <c r="A13" i="2"/>
  <c r="Y12" i="2"/>
  <c r="X12" i="2"/>
  <c r="W12" i="2"/>
  <c r="V12" i="2"/>
  <c r="U12" i="2"/>
  <c r="T12" i="2"/>
  <c r="P12" i="2"/>
  <c r="N12" i="2"/>
  <c r="L12" i="2"/>
  <c r="I12" i="2"/>
  <c r="A12" i="2"/>
  <c r="Y11" i="2"/>
  <c r="X11" i="2"/>
  <c r="W11" i="2"/>
  <c r="V11" i="2"/>
  <c r="U11" i="2"/>
  <c r="T11" i="2"/>
  <c r="P11" i="2"/>
  <c r="N11" i="2"/>
  <c r="L11" i="2"/>
  <c r="I11" i="2"/>
  <c r="A11" i="2"/>
  <c r="Y10" i="2"/>
  <c r="X10" i="2"/>
  <c r="W10" i="2"/>
  <c r="V10" i="2"/>
  <c r="U10" i="2"/>
  <c r="T10" i="2"/>
  <c r="P10" i="2"/>
  <c r="N10" i="2"/>
  <c r="L10" i="2"/>
  <c r="I10" i="2"/>
  <c r="A10" i="2"/>
  <c r="Y9" i="2"/>
  <c r="X9" i="2"/>
  <c r="W9" i="2"/>
  <c r="V9" i="2"/>
  <c r="U9" i="2"/>
  <c r="T9" i="2"/>
  <c r="P9" i="2"/>
  <c r="N9" i="2"/>
  <c r="L9" i="2"/>
  <c r="I9" i="2"/>
  <c r="A9" i="2"/>
  <c r="Y8" i="2"/>
  <c r="X8" i="2"/>
  <c r="W8" i="2"/>
  <c r="V8" i="2"/>
  <c r="U8" i="2"/>
  <c r="T8" i="2"/>
  <c r="P8" i="2"/>
  <c r="N8" i="2"/>
  <c r="L8" i="2"/>
  <c r="I8" i="2"/>
  <c r="A8" i="2"/>
  <c r="Y7" i="2"/>
  <c r="X7" i="2"/>
  <c r="W7" i="2"/>
  <c r="V7" i="2"/>
  <c r="U7" i="2"/>
  <c r="T7" i="2"/>
  <c r="P7" i="2"/>
  <c r="N7" i="2"/>
  <c r="L7" i="2"/>
  <c r="I7" i="2"/>
  <c r="A7" i="2"/>
  <c r="Y6" i="2"/>
  <c r="X6" i="2"/>
  <c r="W6" i="2"/>
  <c r="V6" i="2"/>
  <c r="U6" i="2"/>
  <c r="T6" i="2"/>
  <c r="P6" i="2"/>
  <c r="N6" i="2"/>
  <c r="M6" i="2"/>
  <c r="L6" i="2"/>
  <c r="I6" i="2"/>
  <c r="D6" i="2"/>
  <c r="D7" i="2" s="1"/>
  <c r="D8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A6" i="2"/>
  <c r="Y5" i="2"/>
  <c r="X5" i="2"/>
  <c r="W5" i="2"/>
  <c r="V5" i="2"/>
  <c r="U5" i="2"/>
  <c r="T5" i="2"/>
  <c r="P5" i="2"/>
  <c r="N5" i="2"/>
  <c r="L5" i="2"/>
  <c r="M5" i="2" s="1"/>
  <c r="I5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F5" i="2"/>
  <c r="D5" i="2"/>
  <c r="E5" i="2" s="1"/>
  <c r="C5" i="2"/>
  <c r="A5" i="2"/>
  <c r="E8" i="2" l="1"/>
  <c r="O5" i="2"/>
  <c r="Q5" i="2"/>
  <c r="R6" i="2"/>
  <c r="M8" i="2"/>
  <c r="B7" i="3"/>
  <c r="B5" i="3"/>
  <c r="D9" i="2"/>
  <c r="M7" i="2"/>
  <c r="G5" i="3"/>
  <c r="B20" i="3"/>
  <c r="E6" i="2"/>
  <c r="E7" i="2"/>
  <c r="C5" i="3"/>
  <c r="Q6" i="2"/>
  <c r="O6" i="2"/>
  <c r="Z6" i="2" s="1"/>
  <c r="F6" i="2"/>
  <c r="H5" i="2"/>
  <c r="J5" i="2" s="1"/>
  <c r="K5" i="2" s="1"/>
  <c r="B6" i="3" s="1"/>
  <c r="AA5" i="2" l="1"/>
  <c r="D10" i="2"/>
  <c r="E9" i="2"/>
  <c r="M9" i="2"/>
  <c r="R7" i="2"/>
  <c r="Q7" i="2"/>
  <c r="O7" i="2"/>
  <c r="Z7" i="2" s="1"/>
  <c r="F7" i="2"/>
  <c r="H6" i="2"/>
  <c r="J6" i="2" s="1"/>
  <c r="K6" i="2" s="1"/>
  <c r="R8" i="2"/>
  <c r="O8" i="2"/>
  <c r="Z8" i="2" s="1"/>
  <c r="Q8" i="2"/>
  <c r="R9" i="2" l="1"/>
  <c r="Q9" i="2"/>
  <c r="O9" i="2"/>
  <c r="Z9" i="2" s="1"/>
  <c r="B11" i="3"/>
  <c r="AA6" i="2"/>
  <c r="AB5" i="2"/>
  <c r="B12" i="3" s="1"/>
  <c r="D11" i="2"/>
  <c r="E10" i="2"/>
  <c r="M10" i="2"/>
  <c r="H7" i="2"/>
  <c r="J7" i="2" s="1"/>
  <c r="K7" i="2" s="1"/>
  <c r="F8" i="2"/>
  <c r="R10" i="2" l="1"/>
  <c r="O10" i="2"/>
  <c r="Z10" i="2" s="1"/>
  <c r="Q10" i="2"/>
  <c r="AA7" i="2"/>
  <c r="AB6" i="2"/>
  <c r="F9" i="2"/>
  <c r="H8" i="2"/>
  <c r="J8" i="2" s="1"/>
  <c r="K8" i="2" s="1"/>
  <c r="D12" i="2"/>
  <c r="E11" i="2"/>
  <c r="M11" i="2"/>
  <c r="F10" i="2" l="1"/>
  <c r="H9" i="2"/>
  <c r="J9" i="2" s="1"/>
  <c r="K9" i="2" s="1"/>
  <c r="Q11" i="2"/>
  <c r="R11" i="2"/>
  <c r="O11" i="2"/>
  <c r="Z11" i="2" s="1"/>
  <c r="E12" i="2"/>
  <c r="M12" i="2"/>
  <c r="D13" i="2"/>
  <c r="AA8" i="2"/>
  <c r="AB7" i="2"/>
  <c r="AA9" i="2" l="1"/>
  <c r="AB8" i="2"/>
  <c r="F11" i="2"/>
  <c r="H10" i="2"/>
  <c r="J10" i="2" s="1"/>
  <c r="K10" i="2" s="1"/>
  <c r="O12" i="2"/>
  <c r="Z12" i="2" s="1"/>
  <c r="R12" i="2"/>
  <c r="Q12" i="2"/>
  <c r="C6" i="3"/>
  <c r="C7" i="3"/>
  <c r="E13" i="2"/>
  <c r="D14" i="2"/>
  <c r="M13" i="2"/>
  <c r="R13" i="2" l="1"/>
  <c r="O13" i="2"/>
  <c r="Q13" i="2"/>
  <c r="D15" i="2"/>
  <c r="M14" i="2"/>
  <c r="E14" i="2"/>
  <c r="F12" i="2"/>
  <c r="H11" i="2"/>
  <c r="J11" i="2" s="1"/>
  <c r="K11" i="2" s="1"/>
  <c r="AB9" i="2"/>
  <c r="C12" i="3" s="1"/>
  <c r="C11" i="3"/>
  <c r="AA10" i="2"/>
  <c r="D16" i="2" l="1"/>
  <c r="E15" i="2"/>
  <c r="M15" i="2"/>
  <c r="H12" i="2"/>
  <c r="J12" i="2" s="1"/>
  <c r="K12" i="2" s="1"/>
  <c r="F13" i="2"/>
  <c r="R14" i="2"/>
  <c r="Q14" i="2"/>
  <c r="O14" i="2"/>
  <c r="Z14" i="2" s="1"/>
  <c r="AB10" i="2"/>
  <c r="AA11" i="2"/>
  <c r="Z13" i="2"/>
  <c r="F14" i="2" l="1"/>
  <c r="H13" i="2"/>
  <c r="J13" i="2" s="1"/>
  <c r="K13" i="2" s="1"/>
  <c r="Q15" i="2"/>
  <c r="R15" i="2"/>
  <c r="O15" i="2"/>
  <c r="Z15" i="2" s="1"/>
  <c r="AA12" i="2"/>
  <c r="AB11" i="2"/>
  <c r="E16" i="2"/>
  <c r="M16" i="2"/>
  <c r="D17" i="2"/>
  <c r="AA13" i="2" l="1"/>
  <c r="AB12" i="2"/>
  <c r="E17" i="2"/>
  <c r="D18" i="2"/>
  <c r="M17" i="2"/>
  <c r="O16" i="2"/>
  <c r="R16" i="2"/>
  <c r="Q16" i="2"/>
  <c r="F15" i="2"/>
  <c r="H14" i="2"/>
  <c r="J14" i="2" s="1"/>
  <c r="K14" i="2" s="1"/>
  <c r="Z16" i="2" l="1"/>
  <c r="R17" i="2"/>
  <c r="Q17" i="2"/>
  <c r="O17" i="2"/>
  <c r="Z17" i="2" s="1"/>
  <c r="D19" i="2"/>
  <c r="E18" i="2"/>
  <c r="M18" i="2"/>
  <c r="D6" i="3"/>
  <c r="D7" i="3"/>
  <c r="F16" i="2"/>
  <c r="H15" i="2"/>
  <c r="J15" i="2" s="1"/>
  <c r="K15" i="2" s="1"/>
  <c r="AA14" i="2"/>
  <c r="AB13" i="2"/>
  <c r="O18" i="2" l="1"/>
  <c r="Q18" i="2"/>
  <c r="R18" i="2"/>
  <c r="AB14" i="2"/>
  <c r="D12" i="3" s="1"/>
  <c r="D11" i="3"/>
  <c r="AA15" i="2"/>
  <c r="D20" i="2"/>
  <c r="M19" i="2"/>
  <c r="E19" i="2"/>
  <c r="F17" i="2"/>
  <c r="H16" i="2"/>
  <c r="J16" i="2" s="1"/>
  <c r="K16" i="2" s="1"/>
  <c r="M20" i="2" l="1"/>
  <c r="D21" i="2"/>
  <c r="E20" i="2"/>
  <c r="Q19" i="2"/>
  <c r="O19" i="2"/>
  <c r="Z19" i="2" s="1"/>
  <c r="R19" i="2"/>
  <c r="F18" i="2"/>
  <c r="H17" i="2"/>
  <c r="J17" i="2" s="1"/>
  <c r="K17" i="2" s="1"/>
  <c r="AA16" i="2"/>
  <c r="AB15" i="2"/>
  <c r="Z18" i="2"/>
  <c r="F19" i="2" l="1"/>
  <c r="H18" i="2"/>
  <c r="J18" i="2" s="1"/>
  <c r="K18" i="2" s="1"/>
  <c r="E21" i="2"/>
  <c r="D22" i="2"/>
  <c r="M21" i="2"/>
  <c r="AA17" i="2"/>
  <c r="AB16" i="2"/>
  <c r="O20" i="2"/>
  <c r="Z20" i="2" s="1"/>
  <c r="R20" i="2"/>
  <c r="Q20" i="2"/>
  <c r="AA18" i="2" l="1"/>
  <c r="AB17" i="2"/>
  <c r="R21" i="2"/>
  <c r="Q21" i="2"/>
  <c r="O21" i="2"/>
  <c r="Z21" i="2" s="1"/>
  <c r="D23" i="2"/>
  <c r="E22" i="2"/>
  <c r="M22" i="2"/>
  <c r="F20" i="2"/>
  <c r="H19" i="2"/>
  <c r="J19" i="2" s="1"/>
  <c r="K19" i="2" s="1"/>
  <c r="R22" i="2" l="1"/>
  <c r="O22" i="2"/>
  <c r="Q22" i="2"/>
  <c r="D24" i="2"/>
  <c r="E23" i="2"/>
  <c r="M23" i="2"/>
  <c r="E6" i="3"/>
  <c r="E7" i="3"/>
  <c r="H20" i="2"/>
  <c r="J20" i="2" s="1"/>
  <c r="K20" i="2" s="1"/>
  <c r="F21" i="2"/>
  <c r="AB18" i="2"/>
  <c r="AA19" i="2"/>
  <c r="Q23" i="2" l="1"/>
  <c r="R23" i="2"/>
  <c r="O23" i="2"/>
  <c r="Z23" i="2" s="1"/>
  <c r="E11" i="3"/>
  <c r="AA20" i="2"/>
  <c r="AB19" i="2"/>
  <c r="E12" i="3" s="1"/>
  <c r="F22" i="2"/>
  <c r="H21" i="2"/>
  <c r="J21" i="2" s="1"/>
  <c r="K21" i="2" s="1"/>
  <c r="D25" i="2"/>
  <c r="E24" i="2"/>
  <c r="M24" i="2"/>
  <c r="Z22" i="2"/>
  <c r="F23" i="2" l="1"/>
  <c r="H22" i="2"/>
  <c r="J22" i="2" s="1"/>
  <c r="K22" i="2" s="1"/>
  <c r="O24" i="2"/>
  <c r="R24" i="2"/>
  <c r="Q24" i="2"/>
  <c r="AA21" i="2"/>
  <c r="AB20" i="2"/>
  <c r="E25" i="2"/>
  <c r="D26" i="2"/>
  <c r="M25" i="2"/>
  <c r="AA22" i="2" l="1"/>
  <c r="AB21" i="2"/>
  <c r="Z24" i="2"/>
  <c r="R25" i="2"/>
  <c r="Q25" i="2"/>
  <c r="O25" i="2"/>
  <c r="Z25" i="2" s="1"/>
  <c r="D27" i="2"/>
  <c r="E26" i="2"/>
  <c r="M26" i="2"/>
  <c r="F24" i="2"/>
  <c r="H23" i="2"/>
  <c r="J23" i="2" s="1"/>
  <c r="K23" i="2" s="1"/>
  <c r="D28" i="2" l="1"/>
  <c r="E27" i="2"/>
  <c r="M27" i="2"/>
  <c r="H24" i="2"/>
  <c r="J24" i="2" s="1"/>
  <c r="K24" i="2" s="1"/>
  <c r="F25" i="2"/>
  <c r="R26" i="2"/>
  <c r="O26" i="2"/>
  <c r="Q26" i="2"/>
  <c r="AB22" i="2"/>
  <c r="AA23" i="2"/>
  <c r="Z26" i="2" l="1"/>
  <c r="F26" i="2"/>
  <c r="H25" i="2"/>
  <c r="J25" i="2" s="1"/>
  <c r="K25" i="2" s="1"/>
  <c r="Q27" i="2"/>
  <c r="O27" i="2"/>
  <c r="Z27" i="2" s="1"/>
  <c r="R27" i="2"/>
  <c r="AA24" i="2"/>
  <c r="AB23" i="2"/>
  <c r="D29" i="2"/>
  <c r="M28" i="2"/>
  <c r="E28" i="2"/>
  <c r="AA25" i="2" l="1"/>
  <c r="AB24" i="2"/>
  <c r="O28" i="2"/>
  <c r="R28" i="2"/>
  <c r="Q28" i="2"/>
  <c r="F27" i="2"/>
  <c r="H26" i="2"/>
  <c r="J26" i="2" s="1"/>
  <c r="K26" i="2" s="1"/>
  <c r="E29" i="2"/>
  <c r="D30" i="2"/>
  <c r="M29" i="2"/>
  <c r="F28" i="2" l="1"/>
  <c r="H27" i="2"/>
  <c r="J27" i="2" s="1"/>
  <c r="K27" i="2" s="1"/>
  <c r="Z28" i="2"/>
  <c r="R29" i="2"/>
  <c r="Q29" i="2"/>
  <c r="O29" i="2"/>
  <c r="Z29" i="2" s="1"/>
  <c r="D31" i="2"/>
  <c r="E30" i="2"/>
  <c r="M30" i="2"/>
  <c r="AA26" i="2"/>
  <c r="AB25" i="2"/>
  <c r="D32" i="2" l="1"/>
  <c r="E31" i="2"/>
  <c r="M31" i="2"/>
  <c r="AB26" i="2"/>
  <c r="AA27" i="2"/>
  <c r="R30" i="2"/>
  <c r="O30" i="2"/>
  <c r="Q30" i="2"/>
  <c r="H28" i="2"/>
  <c r="J28" i="2" s="1"/>
  <c r="K28" i="2" s="1"/>
  <c r="F29" i="2"/>
  <c r="Z30" i="2" l="1"/>
  <c r="F30" i="2"/>
  <c r="H29" i="2"/>
  <c r="J29" i="2" s="1"/>
  <c r="K29" i="2" s="1"/>
  <c r="AA28" i="2"/>
  <c r="AB27" i="2"/>
  <c r="Q31" i="2"/>
  <c r="R31" i="2"/>
  <c r="O31" i="2"/>
  <c r="Z31" i="2" s="1"/>
  <c r="D33" i="2"/>
  <c r="E32" i="2"/>
  <c r="M32" i="2"/>
  <c r="AA29" i="2" l="1"/>
  <c r="AB28" i="2"/>
  <c r="O32" i="2"/>
  <c r="R32" i="2"/>
  <c r="Q32" i="2"/>
  <c r="F6" i="3"/>
  <c r="F7" i="3"/>
  <c r="F31" i="2"/>
  <c r="H30" i="2"/>
  <c r="J30" i="2" s="1"/>
  <c r="K30" i="2" s="1"/>
  <c r="M33" i="2"/>
  <c r="E33" i="2"/>
  <c r="D34" i="2"/>
  <c r="Z32" i="2" l="1"/>
  <c r="F32" i="2"/>
  <c r="H31" i="2"/>
  <c r="J31" i="2" s="1"/>
  <c r="K31" i="2" s="1"/>
  <c r="E34" i="2"/>
  <c r="M34" i="2"/>
  <c r="R33" i="2"/>
  <c r="Q33" i="2"/>
  <c r="O33" i="2"/>
  <c r="Z33" i="2" s="1"/>
  <c r="AA30" i="2"/>
  <c r="AB29" i="2"/>
  <c r="F12" i="3" s="1"/>
  <c r="F11" i="3"/>
  <c r="R34" i="2" l="1"/>
  <c r="B17" i="3" s="1"/>
  <c r="O34" i="2"/>
  <c r="Q34" i="2"/>
  <c r="H32" i="2"/>
  <c r="J32" i="2" s="1"/>
  <c r="K32" i="2" s="1"/>
  <c r="F33" i="2"/>
  <c r="AB30" i="2"/>
  <c r="AA31" i="2"/>
  <c r="AA32" i="2" l="1"/>
  <c r="AB31" i="2"/>
  <c r="F34" i="2"/>
  <c r="H33" i="2"/>
  <c r="J33" i="2" s="1"/>
  <c r="K33" i="2" s="1"/>
  <c r="Z34" i="2"/>
  <c r="B15" i="3" l="1"/>
  <c r="B23" i="3" s="1"/>
  <c r="B16" i="3"/>
  <c r="B19" i="3"/>
  <c r="H34" i="2"/>
  <c r="J34" i="2" s="1"/>
  <c r="K34" i="2" s="1"/>
  <c r="AA33" i="2"/>
  <c r="AB32" i="2"/>
  <c r="AA34" i="2" l="1"/>
  <c r="AB33" i="2"/>
  <c r="G6" i="3"/>
  <c r="B25" i="3" s="1"/>
  <c r="G7" i="3"/>
  <c r="AB34" i="2" l="1"/>
  <c r="G12" i="3" s="1"/>
  <c r="G11" i="3"/>
  <c r="B24" i="3" s="1"/>
</calcChain>
</file>

<file path=xl/sharedStrings.xml><?xml version="1.0" encoding="utf-8"?>
<sst xmlns="http://schemas.openxmlformats.org/spreadsheetml/2006/main" count="724" uniqueCount="553">
  <si>
    <t>MODELLO — PROIEZIONE ANNO PER ANNO (v2, 30 anni 2026-2055)</t>
  </si>
  <si>
    <t>Tutti i valori in termini reali (prezzi 2026). Flussi positivi = risparmi/entrate per lo Stato; negativi = costi/fabbisogno.</t>
  </si>
  <si>
    <t>LEVA F: formula calibrata su t=0..26 (errore &lt;0.003 mld). Anni t=27-29 divergono dal v2 originale (~2-8 mld) per un cambio di logica non ricostruibile nei dati originali. Il v2 originale mostra ΔU costante a 3.535 mld/anno per t=28,29. Aggiornare f0,f1 in Parametri per ricalibrazione.</t>
  </si>
  <si>
    <t>Anno</t>
  </si>
  <si>
    <t>t</t>
  </si>
  <si>
    <t>Pensioni
vigenti (mln)</t>
  </si>
  <si>
    <t>Occupati L1
(mln)</t>
  </si>
  <si>
    <t>Att/Pens</t>
  </si>
  <si>
    <t>PIL reale
(€mld)</t>
  </si>
  <si>
    <t>Salario
medio (€)</t>
  </si>
  <si>
    <t>Spesa PAYG
SQ (€mld)</t>
  </si>
  <si>
    <t>Spesa PAYG
%PIL (RGS)</t>
  </si>
  <si>
    <t>Spesa rif.
(€mld)</t>
  </si>
  <si>
    <t>Spesa rif./PIL</t>
  </si>
  <si>
    <t>%Lav in P2</t>
  </si>
  <si>
    <t>Lav. in P2
(mln)</t>
  </si>
  <si>
    <t>Leva A
(€mld)</t>
  </si>
  <si>
    <t>Leva B
(€mld)</t>
  </si>
  <si>
    <t>Leva C
(€mld)</t>
  </si>
  <si>
    <t>Leva D gap
(€mld)</t>
  </si>
  <si>
    <t>BRDP emessi
(€mld)</t>
  </si>
  <si>
    <t>BRDP esterni
(€mld)</t>
  </si>
  <si>
    <t>Leva E
(€mld)</t>
  </si>
  <si>
    <t>Leva F 
CORRETTA</t>
  </si>
  <si>
    <t>Leva G
(€mld)</t>
  </si>
  <si>
    <t>Leva H
(€mld)</t>
  </si>
  <si>
    <t>Leva I
(€mld)</t>
  </si>
  <si>
    <t>Leva J
(€mld)</t>
  </si>
  <si>
    <t>Saldo annuo
(€mld)</t>
  </si>
  <si>
    <t>Saldo cum.
(€mld)</t>
  </si>
  <si>
    <t>Debito tr./PIL</t>
  </si>
  <si>
    <t>MODELLO QUANTITATIVO DELLA PROPOSTA DI RIFORMA PENSIONISTICA — v2 (16/05/2026)</t>
  </si>
  <si>
    <t>Foglio dei parametri — celle gialle = ipotesi chiave; celle verdi = parametri aggiunti rispetto a v1</t>
  </si>
  <si>
    <t>Parametro</t>
  </si>
  <si>
    <t>Valore</t>
  </si>
  <si>
    <t>Unità</t>
  </si>
  <si>
    <t>Note metodologiche</t>
  </si>
  <si>
    <t>Fonte</t>
  </si>
  <si>
    <t>DEMOGRAFIA E MACRO</t>
  </si>
  <si>
    <t>Anno iniziale</t>
  </si>
  <si>
    <t>anno</t>
  </si>
  <si>
    <t>Anno di partenza simulazione</t>
  </si>
  <si>
    <t>RGS 26/2025</t>
  </si>
  <si>
    <t>Orizzonte temporale</t>
  </si>
  <si>
    <t>anni</t>
  </si>
  <si>
    <t>2026-2055</t>
  </si>
  <si>
    <t>Coerente con orizzonte Australia SG (33 anni 1992-2025)</t>
  </si>
  <si>
    <t>Pensionati distinti (anno 0)</t>
  </si>
  <si>
    <t>mln</t>
  </si>
  <si>
    <t>Pensionati fisici al 31/12/2024 (cumulo 1,41 pensioni/persona)</t>
  </si>
  <si>
    <t>INPS Osservatorio 2024</t>
  </si>
  <si>
    <t>Pensioni vigenti (anno 0)</t>
  </si>
  <si>
    <t>VARIABILE OPERATIVA del modello: il PAYG eroga prestazioni, non persone</t>
  </si>
  <si>
    <t>INPS Osservatorio Pensioni Vigenti 1.1.2026, Tav. 13</t>
  </si>
  <si>
    <t>Cumulo medio pensioni/pensionato</t>
  </si>
  <si>
    <t>n</t>
  </si>
  <si>
    <t>21,3/16,3 = 1,41 — strutturale (vecchiaia+reversibilità)</t>
  </si>
  <si>
    <t>INPS Casellario 31/12/2024</t>
  </si>
  <si>
    <t>Occupati dipendenti privati (FPLD)</t>
  </si>
  <si>
    <t>Perimetro Livello 1 base</t>
  </si>
  <si>
    <t>INPS-FPLD 2024</t>
  </si>
  <si>
    <t>Occupati dipendenti pubblici (CTPS)</t>
  </si>
  <si>
    <t>AGGIUNTO al Livello 1: pubblici impiegati gestione separata CTPS</t>
  </si>
  <si>
    <t>INPS CTPS 2024</t>
  </si>
  <si>
    <t>Totale occupati Livello 1</t>
  </si>
  <si>
    <t>Dipendenti privati + pubblici — perimetro modello base</t>
  </si>
  <si>
    <t>Somma</t>
  </si>
  <si>
    <t>Crescita reale pensioni vigenti</t>
  </si>
  <si>
    <t>%/anno</t>
  </si>
  <si>
    <t>Trend invecchiamento, ipotesi conservativa</t>
  </si>
  <si>
    <t>ISTAT proiezioni base 1.1.2024</t>
  </si>
  <si>
    <t>Crescita reale occupati (al netto migrazione)</t>
  </si>
  <si>
    <t>Trend demografico ISTAT base 2024</t>
  </si>
  <si>
    <t>ISTAT</t>
  </si>
  <si>
    <t>Migrazione netta annua (scenario RGS)</t>
  </si>
  <si>
    <t>persone/anno</t>
  </si>
  <si>
    <t>165k/anno per 50 anni — Scenario base RGS Rapporto 26/2025</t>
  </si>
  <si>
    <t>RGS 26/2025; OCPI Cattolica 27/02/2026</t>
  </si>
  <si>
    <t>Quota migranti in età lavorativa</t>
  </si>
  <si>
    <t>%</t>
  </si>
  <si>
    <t>Stima Moressa: ~70% migranti sono 25-54</t>
  </si>
  <si>
    <t>Moressa XV Rapporto 2025</t>
  </si>
  <si>
    <t>Effetto netto su occupati (mln/anno)</t>
  </si>
  <si>
    <t>mln/anno</t>
  </si>
  <si>
    <t>165k × 70% = 115,5k nuovi occupati lordi annui</t>
  </si>
  <si>
    <t>Derivato</t>
  </si>
  <si>
    <t>PIL reale anno 0</t>
  </si>
  <si>
    <t>€mld</t>
  </si>
  <si>
    <t>Aggiornato a PIL Italia 2024 (ISTAT)</t>
  </si>
  <si>
    <t>ISTAT contabilità nazionale 2024</t>
  </si>
  <si>
    <t>Crescita reale PIL (g)</t>
  </si>
  <si>
    <t>Trend conservativo (Ageing Report 0,8%; produttività 0,12% effettiva)</t>
  </si>
  <si>
    <t>Ageing Report 2024 — NB ipotesi RGS 0,92%-1,34% giudicata ottimistica da OCPI</t>
  </si>
  <si>
    <t>Salario imponibile medio</t>
  </si>
  <si>
    <t>€/anno</t>
  </si>
  <si>
    <t>Reddito imponibile medio ai fini contributivi</t>
  </si>
  <si>
    <t>INPS FPLD 2024</t>
  </si>
  <si>
    <t>Crescita reale salari (g_w)</t>
  </si>
  <si>
    <t>CORRETTO dal +0,5% v1 a +0,05%: Eurostat ILC_DI03 mostra reale NEGATIVO per coorti attive 2005-2024</t>
  </si>
  <si>
    <t>Eurostat ILC_DI03 + HICP 2005-2024</t>
  </si>
  <si>
    <t>SISTEMA ATTUALE (PAYG)</t>
  </si>
  <si>
    <t>Aliquota contributiva (dipendenti)</t>
  </si>
  <si>
    <t>9,19% lavoratore + 23,81% datore</t>
  </si>
  <si>
    <t>INPS aliquote 2024</t>
  </si>
  <si>
    <t>Pensione media mensile (singola prestazione)</t>
  </si>
  <si>
    <t>€/mese</t>
  </si>
  <si>
    <t>AGGIORNATO: importo medio della SINGOLA prestazione (era 1.350 = pens. di vecchiaia)</t>
  </si>
  <si>
    <t>INPS Osservatorio 2024 — Q5 Bertonelli</t>
  </si>
  <si>
    <t>Reddito medio del pensionato</t>
  </si>
  <si>
    <t>22.331 €/anno / 13 — somma 1,41 pensioni cumulate</t>
  </si>
  <si>
    <t>INPS Casellario 2024</t>
  </si>
  <si>
    <t>Mensilità annue</t>
  </si>
  <si>
    <t>Standard previdenziale italiano</t>
  </si>
  <si>
    <t>Norma</t>
  </si>
  <si>
    <t>Età pensionabile legale</t>
  </si>
  <si>
    <t>Vecchiaia 2026 (Riforma Fornero)</t>
  </si>
  <si>
    <t>L. 214/2011</t>
  </si>
  <si>
    <t>Età pensionabile effettiva</t>
  </si>
  <si>
    <t>AGGIUNTA: età effettiva media INPS 2024 (privati+autonomi)</t>
  </si>
  <si>
    <t>INPS XXIV Rapporto 2025</t>
  </si>
  <si>
    <t>Coefficiente trasformazione a 67 anni</t>
  </si>
  <si>
    <t>AGGIORNATO 5,723%→5,608% biennio 2025-2026</t>
  </si>
  <si>
    <t>DM MEF 20/11/2024</t>
  </si>
  <si>
    <t>Spesa PAYG/PIL anno 0 (status quo)</t>
  </si>
  <si>
    <t>AGGIORNATO da 13,37% (v1) a 15,4% (RGS 2024)</t>
  </si>
  <si>
    <t>RGS Rapporto 26/2025</t>
  </si>
  <si>
    <t>Spesa PAYG/PIL picco 2040</t>
  </si>
  <si>
    <t>Picco RGS 17,1% al 2040 (NUOVO nel modello)</t>
  </si>
  <si>
    <t>RGS 26/2025 + Ageing Report 2024</t>
  </si>
  <si>
    <t>Spesa PAYG/PIL 2070</t>
  </si>
  <si>
    <t>Rientro RGS condizionato a produttività+migrazione</t>
  </si>
  <si>
    <t>RGS 26/2025 — scenario base</t>
  </si>
  <si>
    <t>Anno picco spesa/PIL</t>
  </si>
  <si>
    <t>Determina la traiettoria a U-rovesciata</t>
  </si>
  <si>
    <t>RGS</t>
  </si>
  <si>
    <t>PILASTRO 0 — SUSSIDIO UNIVERSALE</t>
  </si>
  <si>
    <t>P0 base mensile (B)</t>
  </si>
  <si>
    <t>Sopra soglia povertà ISTAT (€598 Nord)</t>
  </si>
  <si>
    <t>Calibrazione propria</t>
  </si>
  <si>
    <t>Aliquota di taper (t)</t>
  </si>
  <si>
    <t>EMRT 52% nella zona di taper</t>
  </si>
  <si>
    <t>Ingles-Stewart 2017 (Australia)</t>
  </si>
  <si>
    <t>Cap reddito totale</t>
  </si>
  <si>
    <t>P0=0 oltre B/t = 1.250</t>
  </si>
  <si>
    <t>B/t</t>
  </si>
  <si>
    <t>Franchigia patrimoniale</t>
  </si>
  <si>
    <t>€</t>
  </si>
  <si>
    <t>Patrimonio escluso dal deemed rate</t>
  </si>
  <si>
    <t>Modello AU/UK</t>
  </si>
  <si>
    <t>Deemed rate</t>
  </si>
  <si>
    <t>Rendimento figurativo (era 7,8% AU post-2017, ridotto)</t>
  </si>
  <si>
    <t>Cilibrato vs AU</t>
  </si>
  <si>
    <t>P0 medio mensile a regime (calcolato)</t>
  </si>
  <si>
    <t>Si aggiorna se cambi r_fondi</t>
  </si>
  <si>
    <t>Anni per phase-in P0 (sostituz. PAYG)</t>
  </si>
  <si>
    <t>RIDOTTO 50→35: tasso flusso nuovi pensionati ~3,7%/anno</t>
  </si>
  <si>
    <t>Bilanciato su 600k/16 mln</t>
  </si>
  <si>
    <t>Nuovi pensionati l'anno (flusso)</t>
  </si>
  <si>
    <t>Stima INPS — base per Leva F corretta</t>
  </si>
  <si>
    <t>INPS Flussi Pensionamento</t>
  </si>
  <si>
    <t>PILASTRO 2 E BRDP — biforcazione contributiva</t>
  </si>
  <si>
    <t>Quota biforcazione Fase I (totale)</t>
  </si>
  <si>
    <t>Anni 1-10: 6% totale di cui 2 BRDP + 4 P2</t>
  </si>
  <si>
    <t>Quota BRDP Fase I</t>
  </si>
  <si>
    <t>Anni 1-10</t>
  </si>
  <si>
    <t>Quota P2 Fase I</t>
  </si>
  <si>
    <t>Quota biforcazione Fase II (totale)</t>
  </si>
  <si>
    <t>Anni 11-20: 0 BRDP + 6 P2 — BRDP scende a zero, P2 sale a 6%</t>
  </si>
  <si>
    <t>Calibrazione tua proposta</t>
  </si>
  <si>
    <t>Quota BRDP Fase II</t>
  </si>
  <si>
    <t>Anni 11-20 — BRDP a 0</t>
  </si>
  <si>
    <t>Tuo input</t>
  </si>
  <si>
    <t>Quota P2 Fase II</t>
  </si>
  <si>
    <t>Anni 11-20 — tutto al P2 in capitalizzazione</t>
  </si>
  <si>
    <t>Quota biforcazione Fase III</t>
  </si>
  <si>
    <t>Anni 21-30: 0 BRDP + 8 P2 (Save More Tomorrow)</t>
  </si>
  <si>
    <t>Thaler-Benartzi 2004 framing</t>
  </si>
  <si>
    <t>Lavoratori under 40 (anno 1)</t>
  </si>
  <si>
    <t>% sulla forza lavoro perimetro</t>
  </si>
  <si>
    <t>ISTAT struttura forza lavoro 2024</t>
  </si>
  <si>
    <t>Lavoratori under 50 (dall'anno 5)</t>
  </si>
  <si>
    <t>Tutti i lavoratori (anno 30)</t>
  </si>
  <si>
    <t>Coorti vecchie uscite</t>
  </si>
  <si>
    <t>Rendimento reale fondi P2 (r_fondi) — base</t>
  </si>
  <si>
    <t>RIDOTTO 5%→4%: realistico portafoglio 60/40 net of fees</t>
  </si>
  <si>
    <t>OECD Pensions at a Glance 2025</t>
  </si>
  <si>
    <t>Rendimento reale fondi P2 — scenario avverso</t>
  </si>
  <si>
    <t>Da modellare in sensitivity</t>
  </si>
  <si>
    <t>OECD</t>
  </si>
  <si>
    <t>Rendimento reale fondi P2 — scenario ottimista</t>
  </si>
  <si>
    <t>Anni di carriera tipica P2</t>
  </si>
  <si>
    <t>Per calcolo montante lavoratore tipo</t>
  </si>
  <si>
    <t>INPS Osservatorio carriere</t>
  </si>
  <si>
    <t>Coefficiente trasformazione P2 (a 67)</t>
  </si>
  <si>
    <t>Aggiornato DM MEF 11/2024</t>
  </si>
  <si>
    <t>Spread reale BRDP (su HICP)</t>
  </si>
  <si>
    <t>AUMENTATO da 0,75% a 1,5% — necessario per appetibilità senza coercizione</t>
  </si>
  <si>
    <t>Confronto BTPi 25y</t>
  </si>
  <si>
    <t>Rendimento PAYG implicito (n+g_w)</t>
  </si>
  <si>
    <t>AGGIORNATO: n≈0 + g_w 0,05%</t>
  </si>
  <si>
    <t>Aaron 1966 applicato a Italia 2024</t>
  </si>
  <si>
    <t>% portafoglio fondi assorbita da BRDP (coercitivo)</t>
  </si>
  <si>
    <t>AUMENTATO 20%→30% con quota OBBLIGATORIA modello PPM-svedese</t>
  </si>
  <si>
    <t>Tuo input + Cile 2008</t>
  </si>
  <si>
    <t>TASSAZIONE TEE / EET</t>
  </si>
  <si>
    <t>Aliquota IRPEF media (su contributi)</t>
  </si>
  <si>
    <t>Aliquota marginale media lavoratori</t>
  </si>
  <si>
    <t>MEF dichiarazioni 2024</t>
  </si>
  <si>
    <t>Imposta conversione una tantum</t>
  </si>
  <si>
    <t>Sotto 15% std EET (incentivo)</t>
  </si>
  <si>
    <t>% stock fondi che converte</t>
  </si>
  <si>
    <t>RIDOTTO 50%→30%: realistico data composizione anziani/giovani</t>
  </si>
  <si>
    <t>Stima conservativa</t>
  </si>
  <si>
    <t>Patrimonio fondi pensione anno 0</t>
  </si>
  <si>
    <t>AGGIORNATO a fine 2024</t>
  </si>
  <si>
    <t>COVIP Relazione 2024</t>
  </si>
  <si>
    <t>Anni finestra conversione</t>
  </si>
  <si>
    <t>Periodo erogazione una tantum</t>
  </si>
  <si>
    <t>LEVA C — ETÀ PENSIONABILE</t>
  </si>
  <si>
    <t>Età pensionabile attuale</t>
  </si>
  <si>
    <t>Vecchiaia 2026</t>
  </si>
  <si>
    <t>Età pensionabile target</t>
  </si>
  <si>
    <t>+2 anni a 69 entro 2045</t>
  </si>
  <si>
    <t>Risparmio chiusura deroghe</t>
  </si>
  <si>
    <t>€mld/anno</t>
  </si>
  <si>
    <t>Quota 103, APe, Opzione Donna — immediato</t>
  </si>
  <si>
    <t>UPB-INPS 2022</t>
  </si>
  <si>
    <t>Risparmio età +2 a regime (anno 15+)</t>
  </si>
  <si>
    <t>Stima 8-10 mld a regime</t>
  </si>
  <si>
    <t>RGS-UPB</t>
  </si>
  <si>
    <t>Anni per regime Leva C</t>
  </si>
  <si>
    <t>Phase-in lineare</t>
  </si>
  <si>
    <t>LEVA E — CREDITI FIGLI</t>
  </si>
  <si>
    <t>Nascite annue</t>
  </si>
  <si>
    <t>AGGIORNATO 380k→379k (ISTAT 2024)</t>
  </si>
  <si>
    <t>ISTAT 2024</t>
  </si>
  <si>
    <t>% famiglie reddito basso (&lt;€25k)</t>
  </si>
  <si>
    <t>ISTAT distrib. redditi familiari</t>
  </si>
  <si>
    <t>ISTAT IT-SILC 2024</t>
  </si>
  <si>
    <t>% famiglie reddito medio (€25-50k)</t>
  </si>
  <si>
    <t>% famiglie reddito alto (&gt;€50k)</t>
  </si>
  <si>
    <t>Credito reddito basso</t>
  </si>
  <si>
    <t>Per 5 anni per figlio</t>
  </si>
  <si>
    <t>Modello DE Kindererziehungszeiten</t>
  </si>
  <si>
    <t>Credito reddito medio</t>
  </si>
  <si>
    <t>Modello DE</t>
  </si>
  <si>
    <t>Credito reddito alto</t>
  </si>
  <si>
    <t>Anni di erogazione per figlio</t>
  </si>
  <si>
    <t>Finestra di pagamento credito</t>
  </si>
  <si>
    <t>LEVA F — PILASTRO 0 SOSTITUTIVO (formula corretta)</t>
  </si>
  <si>
    <t>Pensione media nuova coorte (t=0)</t>
  </si>
  <si>
    <t>Pensione che il NUOVO pensionato avrebbe ricevuto da PAYG status quo</t>
  </si>
  <si>
    <t>INPS pens. vecchiaia 2024</t>
  </si>
  <si>
    <t>Quota P2 sulla pensione totale a regime</t>
  </si>
  <si>
    <t>A regime: P0 ~30%, P2 ~40-50%, complementare 10-20%</t>
  </si>
  <si>
    <t>Calibrato su 40 anni di P2 a 4% e r_fondi 4%</t>
  </si>
  <si>
    <t>Quota PAYG residuo (NUOVI pensionati t=0)</t>
  </si>
  <si>
    <t>Anno 1: nuovi pensionati hanno carriera quasi tutta in PAYG</t>
  </si>
  <si>
    <t>Derivato dalla coorte di transizione</t>
  </si>
  <si>
    <t>Decadimento PAYG residuo (anni)</t>
  </si>
  <si>
    <t>Tempo perché nuovi pensionati abbiano carriera interamente nuova</t>
  </si>
  <si>
    <t>Modellistica</t>
  </si>
  <si>
    <t>LEVE NUOVE — RICALIBRAZIONE PARAMETRICA (Bertonelli Q18A)</t>
  </si>
  <si>
    <t>Leva G — Sotto-indicizzazione progressiva</t>
  </si>
  <si>
    <t>MEDIA range 2-10 mld: soglia di protezione modulata (sentenza C.Cost. 167/2025)</t>
  </si>
  <si>
    <t>Bertonelli Q16+Q18A; sentenza 167/2025</t>
  </si>
  <si>
    <t>Leva G — Anno avvio</t>
  </si>
  <si>
    <t>Immediato (LdB 2027)</t>
  </si>
  <si>
    <t>Operativo</t>
  </si>
  <si>
    <t>Leva H — Revisione reversibilità superstiti</t>
  </si>
  <si>
    <t>MEDIA range 4-6 mld: aggancio attuariale a contributi de cuius</t>
  </si>
  <si>
    <t>Bertonelli Q18A — INPS spesa reversibilità 35-40 mld</t>
  </si>
  <si>
    <t>Leva H — Anno avvio</t>
  </si>
  <si>
    <t>Anno 2 (richiede norma+attuariale)</t>
  </si>
  <si>
    <t>Leva I — Aggancio aspettativa di vita (riavvio)</t>
  </si>
  <si>
    <t>MEDIA range 2,2-3,3 mld: adeguamento automatico requisiti</t>
  </si>
  <si>
    <t>Bertonelli Q18A — sospeso dal 2019</t>
  </si>
  <si>
    <t>Leva I — Anno avvio</t>
  </si>
  <si>
    <t>Riavvio dal 2027</t>
  </si>
  <si>
    <t>Leva J — Chiusura anticipazioni residue</t>
  </si>
  <si>
    <t>MEDIA range 0,75-1,3 mld: stop rinnovo Quote/Opzione Donna/APe per casistiche non vincolate</t>
  </si>
  <si>
    <t>Bertonelli Q18A — INPS-UPB 2022</t>
  </si>
  <si>
    <t>Leva J — Anno avvio</t>
  </si>
  <si>
    <t>LEVA F bis — SPESA ATTUALE SAFETY NET (per sostituzione P0)</t>
  </si>
  <si>
    <t>Spesa attuale safety net pensionistico</t>
  </si>
  <si>
    <t>Pensione sociale + assegno sociale + integrazione minimo</t>
  </si>
  <si>
    <t>INPS Rendiconto 2024 + Catalfo-Orlando</t>
  </si>
  <si>
    <t>Crescita reale safety net</t>
  </si>
  <si>
    <t>Indicizzazione inflazione</t>
  </si>
  <si>
    <t>TAX GAP PREVIDENZIALE (nuova voce — NON inclusa nel saldo riforma)</t>
  </si>
  <si>
    <t>Gap contributi a carico lavoratore dipendente</t>
  </si>
  <si>
    <t>Media range 2,0-2,8 mld</t>
  </si>
  <si>
    <t>MEF-RGS Relazione evasione 2025 Tab. I.1</t>
  </si>
  <si>
    <t>Gap contributi a carico datore</t>
  </si>
  <si>
    <t>Media range 6,4-8,8 mld</t>
  </si>
  <si>
    <t>Totale gap contributivo annuo</t>
  </si>
  <si>
    <t>Recupero potenziale 5-10 anni con riforma autonomi+Gestione Separata (Livello 2)</t>
  </si>
  <si>
    <t>MEF-RGS 2025</t>
  </si>
  <si>
    <t>CALIBRAZIONE LEVA F — Fattori derivati empiricamente</t>
  </si>
  <si>
    <t>Leva F: fattore base f0 (risparmio per coorte anno 0)</t>
  </si>
  <si>
    <t>adim.</t>
  </si>
  <si>
    <t>Calibrato su v2: f0 = U(0) / (B45*B92*13/1e9). Include effetti P2+P0 combinati.</t>
  </si>
  <si>
    <t>Derivato da modello v2</t>
  </si>
  <si>
    <t>Leva F: fattore crescita f1 (accelerazione per coorte)</t>
  </si>
  <si>
    <t>Calibrato su v2: f1 = ΔΔU / (B45*B92*13/1e9). Riflette accumulo P2 per coorti successive.</t>
  </si>
  <si>
    <t>OUTPUT — INDICATORI DI SOSTENIBILITÀ (v2)</t>
  </si>
  <si>
    <t>1. SPESA PENSIONISTICA SUL PIL</t>
  </si>
  <si>
    <t>Indicatore</t>
  </si>
  <si>
    <t>2026</t>
  </si>
  <si>
    <t>2030</t>
  </si>
  <si>
    <t>2035</t>
  </si>
  <si>
    <t>2040 (picco)</t>
  </si>
  <si>
    <t>2050</t>
  </si>
  <si>
    <t>2055</t>
  </si>
  <si>
    <t>Status quo (RGS, % PIL)</t>
  </si>
  <si>
    <t>Riforma (% PIL)</t>
  </si>
  <si>
    <t>Risparmio (punti %)</t>
  </si>
  <si>
    <t>2. SALDO NETTO CUMULATO DELLA RIFORMA</t>
  </si>
  <si>
    <t>2040</t>
  </si>
  <si>
    <t>Saldo cumulato (€mld)</t>
  </si>
  <si>
    <t>Debito di transizione / PIL</t>
  </si>
  <si>
    <t>3. INDICATORI CHIAVE</t>
  </si>
  <si>
    <t>Picco fabbisogno annuo (€mld, anno peggiore)</t>
  </si>
  <si>
    <t>Anno del picco</t>
  </si>
  <si>
    <t>BRDP totali emessi cumulati (€mld)</t>
  </si>
  <si>
    <t>BRDP esterni cumulati (€mld)</t>
  </si>
  <si>
    <t>BRDP esterni / PIL anno 30</t>
  </si>
  <si>
    <t>Risparmio totale Leve G+H+I+J cumulato 30 anni</t>
  </si>
  <si>
    <t>4. VERDETTO DI SOSTENIBILITÀ</t>
  </si>
  <si>
    <t>Picco fabbisogno sotto soglia 0,5% PIL?</t>
  </si>
  <si>
    <t>Saldo finale (2055) positivo?</t>
  </si>
  <si>
    <t>Spesa pensionistica 2055 &lt; status quo?</t>
  </si>
  <si>
    <t>5. SCENARI SENSITIVITY (da popolare manualmente)</t>
  </si>
  <si>
    <t>Scenario r_fondi</t>
  </si>
  <si>
    <t>Saldo cum. 2040</t>
  </si>
  <si>
    <t>Saldo cum. 2055</t>
  </si>
  <si>
    <t>Spesa rif. 2055 %PIL</t>
  </si>
  <si>
    <t>Debito tr./PIL 2055</t>
  </si>
  <si>
    <t>Verdetto</t>
  </si>
  <si>
    <t>Avverso (3%)</t>
  </si>
  <si>
    <t>—</t>
  </si>
  <si>
    <t>Base (4%, attuale)</t>
  </si>
  <si>
    <t>Ottimista (5%)</t>
  </si>
  <si>
    <t>NOTE METODOLOGICHE</t>
  </si>
  <si>
    <t>• Tutti i valori in termini reali (prezzi 2026). Inflazione neutralizzata.</t>
  </si>
  <si>
    <t>• La traiettoria della spesa PAYG/PIL (colonna I del Modello) segue le proiezioni RGS 26/2025: 15,4 % (2026) → 17,1 % (2040) → 14 % (2070).</t>
  </si>
  <si>
    <t>• La Leva F è stata corretta rispetto alla v1: ora calcola il risparmio sulla SPESA PUBBLICA per i NUOVI pensionati × quota_nuovo_regime, non sullo stock totale.</t>
  </si>
  <si>
    <t>• La biforcazione contributiva cambia nelle 3 fasi: I (2026-2035) 2%+4%; II (2036-2045) 0%+6%; III (2046-2055) 0%+8% (framing Save More Tomorrow).</t>
  </si>
  <si>
    <t>• Le leve G, H, I, J sono aggiunte sulla base di Bertonelli Q18A (ricalibrazione parametrica): generano cassa immediata in attesa che le leve strutturali (D, F, C) maturino.</t>
  </si>
  <si>
    <t>• Il perimetro Livello 1 ora include dipendenti privati (FPLD) + dipendenti pubblici (CTPS) per un totale di 17,5 mln occupati.</t>
  </si>
  <si>
    <t>• Il tax gap previdenziale (10 mld/anno stima media) è inserito come dato consultivo nei Parametri ma NON è incluso nel saldo: è recupero condizionato a riforma autonomi (Livello 2).</t>
  </si>
  <si>
    <t>• Celle GIALLE in Parametri = ipotesi sensibili da stress-testare. Celle VERDI = parametri aggiunti rispetto alla v1.</t>
  </si>
  <si>
    <t>• Le celle ROSSE nella colonna Z del Modello evidenziano gli anni con saldo annuo negativo (fabbisogno).</t>
  </si>
  <si>
    <t>CONFRONTO NUMERICO MAIN.PDF / EXCEL v2 / BERTONELLI (12 maggio 2026)</t>
  </si>
  <si>
    <t>Main.pdf</t>
  </si>
  <si>
    <t>Excel v2</t>
  </si>
  <si>
    <t>Bertonelli</t>
  </si>
  <si>
    <t>Verifica / Fonte ufficiale</t>
  </si>
  <si>
    <t>Spesa pensionistica / PIL 2024</t>
  </si>
  <si>
    <t>~16 %</t>
  </si>
  <si>
    <t>15,4 %</t>
  </si>
  <si>
    <t>RGS 2024 ✓ allineato</t>
  </si>
  <si>
    <t>Spesa pens. % PIL — picco 2040</t>
  </si>
  <si>
    <t>non citato</t>
  </si>
  <si>
    <t>17,1 % al 2040</t>
  </si>
  <si>
    <t>17,1 %</t>
  </si>
  <si>
    <t>RGS 26/2025 ✓</t>
  </si>
  <si>
    <t>Spesa pens. % PIL — 2070 (rientro)</t>
  </si>
  <si>
    <t>14 % (lineare al 2055)</t>
  </si>
  <si>
    <t>14 %</t>
  </si>
  <si>
    <t>RGS — ipotesi ottimistiche su produttività/migrazione</t>
  </si>
  <si>
    <t>Pensioni vigenti</t>
  </si>
  <si>
    <t>16 mln (erroneo)</t>
  </si>
  <si>
    <t>21,3 mln</t>
  </si>
  <si>
    <t>21,3 mln (2026)</t>
  </si>
  <si>
    <t>INPS Osservatorio 1.1.2026 ✓</t>
  </si>
  <si>
    <t>Pensionati distinti</t>
  </si>
  <si>
    <t>non distinto</t>
  </si>
  <si>
    <t>16,3 mln (referenza)</t>
  </si>
  <si>
    <t>16,3 mln</t>
  </si>
  <si>
    <t>INPS Casellario ✓</t>
  </si>
  <si>
    <t>Cumulo pensioni/pensionato</t>
  </si>
  <si>
    <t>1,41</t>
  </si>
  <si>
    <t>INPS ✓</t>
  </si>
  <si>
    <t>Occupati (perimetro)</t>
  </si>
  <si>
    <t>24 mln (totale)</t>
  </si>
  <si>
    <t>17,5 mln (priv+pub L1)</t>
  </si>
  <si>
    <t>23,9 mln (totale)</t>
  </si>
  <si>
    <t>ISTAT 2024 — perimetro Excel v2 esplicito</t>
  </si>
  <si>
    <t>67</t>
  </si>
  <si>
    <t>L.214/2011 ✓</t>
  </si>
  <si>
    <t>non citata</t>
  </si>
  <si>
    <t>63,8</t>
  </si>
  <si>
    <t>INPS XXIV Rapp. 2025 ✓</t>
  </si>
  <si>
    <t>Coefficiente trasformaz. 67 anni</t>
  </si>
  <si>
    <t>5,723 %</t>
  </si>
  <si>
    <t>5,608 %</t>
  </si>
  <si>
    <t>5,275 % (erroneo)</t>
  </si>
  <si>
    <t>DM MEF 20/11/2024 → 5,608 % ✓</t>
  </si>
  <si>
    <t>Patrimonio fondi pensione</t>
  </si>
  <si>
    <t>220 mld (2023)</t>
  </si>
  <si>
    <t>244 mld (2024)</t>
  </si>
  <si>
    <t>COVIP Relazione 2024 ✓</t>
  </si>
  <si>
    <t>TFR (secondo pilastro mancato)</t>
  </si>
  <si>
    <t>non integrato</t>
  </si>
  <si>
    <t>tema aperto</t>
  </si>
  <si>
    <t>30 mld/anno OCPI</t>
  </si>
  <si>
    <t>OCPI Cattolica 30/05/2025</t>
  </si>
  <si>
    <t>Fecondità</t>
  </si>
  <si>
    <t>1,2 (2023)</t>
  </si>
  <si>
    <t>non parametrizzata</t>
  </si>
  <si>
    <t>1,18 (2024)</t>
  </si>
  <si>
    <t>Eurostat demo_find ✓</t>
  </si>
  <si>
    <t>Migrazione netta annua</t>
  </si>
  <si>
    <t>165 mila</t>
  </si>
  <si>
    <t>165 mila (RGS)</t>
  </si>
  <si>
    <t>Crescita salari reali (g_w)</t>
  </si>
  <si>
    <t>+0,5 %</t>
  </si>
  <si>
    <t>+0,05 %</t>
  </si>
  <si>
    <t>negativo coorti attive</t>
  </si>
  <si>
    <t>Eurostat ILC_DI03 corretto</t>
  </si>
  <si>
    <t>Rendimento reale fondi P2</t>
  </si>
  <si>
    <t>5 % (excel v1)</t>
  </si>
  <si>
    <t>4 % base, 3-5 scenari</t>
  </si>
  <si>
    <t>non quantif.</t>
  </si>
  <si>
    <t>Spread reale BRDP</t>
  </si>
  <si>
    <t>0,5-1 %</t>
  </si>
  <si>
    <t>1,5 %</t>
  </si>
  <si>
    <t>BTPi 25y ≈ 2 %</t>
  </si>
  <si>
    <t>% BRDP assorbita dai fondi</t>
  </si>
  <si>
    <t>80 % (v1)</t>
  </si>
  <si>
    <t>30 % coercitivo</t>
  </si>
  <si>
    <t>PPM-svedese / AFP cilena post-2008</t>
  </si>
  <si>
    <t>Tax gap contributivo</t>
  </si>
  <si>
    <t>10 mld (consultivo)</t>
  </si>
  <si>
    <t>8-12 mld</t>
  </si>
  <si>
    <t>MEF-RGS Relazione evasione 2025</t>
  </si>
  <si>
    <t>Spesa welfare iperconcentraz. vecchiaia</t>
  </si>
  <si>
    <t>non parametrizz.</t>
  </si>
  <si>
    <t>+4,1 pp PIL vs UE</t>
  </si>
  <si>
    <t>Eurostat ESSPROS spr_exp_func 2024</t>
  </si>
  <si>
    <t>Leve di ricalibraz. immediata (G+H+I+J)</t>
  </si>
  <si>
    <t>non presenti</t>
  </si>
  <si>
    <t>14,75 mld/anno a regime</t>
  </si>
  <si>
    <t>9-21 mld/anno</t>
  </si>
  <si>
    <t>Bertonelli Q18A ✓</t>
  </si>
  <si>
    <t>IPD - debito pens. implicito</t>
  </si>
  <si>
    <t>200-450 % PIL</t>
  </si>
  <si>
    <t>non parametrizzato</t>
  </si>
  <si>
    <t>Eurostat GFS — range ampio</t>
  </si>
  <si>
    <t>FONTI USATE NEL MODELLO v2</t>
  </si>
  <si>
    <t>#</t>
  </si>
  <si>
    <t>Documento / Fonte</t>
  </si>
  <si>
    <t>Uso nel modello</t>
  </si>
  <si>
    <t>INPS — Rendiconto generale 2024, Tab. 4.3</t>
  </si>
  <si>
    <t>2024</t>
  </si>
  <si>
    <t>Spesa totale 417,4 mld / pensioni 320,6 mld; safety net 32,5 mld</t>
  </si>
  <si>
    <t>INPS — Osservatorio Pensioni Vigenti 1.1.2026 Tav. 13</t>
  </si>
  <si>
    <t>21,3 mln pensioni; 16,3 mln pensionati; cumulo 1,41</t>
  </si>
  <si>
    <t>INPS — XXIV Rapporto Annuale 2025</t>
  </si>
  <si>
    <t>2025</t>
  </si>
  <si>
    <t>Età effettiva 63,8; tassi di sostituzione effettivi</t>
  </si>
  <si>
    <t>INPS — Casellario Centrale Pensionati</t>
  </si>
  <si>
    <t>Reddito medio pensionato 1.718 €/mese</t>
  </si>
  <si>
    <t>RGS-MEF — Rapporto 26/2025</t>
  </si>
  <si>
    <t>Traiettoria spesa PAYG/PIL: 15,4% → 17,1% (2040) → 14% (2070); migrazione 165k/anno</t>
  </si>
  <si>
    <t>RGS-MEF — Relazione evasione 2025 Tab. I.1</t>
  </si>
  <si>
    <t>Tax gap contributivo 8-12 mld/anno; IRPEF autonomi 36 mld</t>
  </si>
  <si>
    <t>Coefficiente trasformazione 67 anni = 5,608% biennio 2025-2026</t>
  </si>
  <si>
    <t>ISTAT — Previsioni popolazione base 1.1.2024</t>
  </si>
  <si>
    <t>Trend pensionati +1%/anno; occupati -0,5%/anno</t>
  </si>
  <si>
    <t>ISTAT — Contabilità nazionale 2024</t>
  </si>
  <si>
    <t>PIL Italia 2024 = 2.184 mld €</t>
  </si>
  <si>
    <t>Eurostat — ILC_DI03 + HICP 2005-2024</t>
  </si>
  <si>
    <t>Salari reali coorti attive: NEGATIVI; corretto a g_w=+0,05%</t>
  </si>
  <si>
    <t>Eurostat — ESSPROS spr_exp_func 2024</t>
  </si>
  <si>
    <t>Iperconcentrazione vecchiaia +4,1 pp PIL vs UE (≈90 mld/anno)</t>
  </si>
  <si>
    <t>Eurostat — demo_find</t>
  </si>
  <si>
    <t>Fecondità Italia 1,18 (2024)</t>
  </si>
  <si>
    <t>COVIP — Relazione annuale 2024</t>
  </si>
  <si>
    <t>Patrimonio fondi pensione 244 mld €</t>
  </si>
  <si>
    <t>Commissione UE — 2024 Ageing Report (Inst. Paper 279)</t>
  </si>
  <si>
    <t>Crescita PIL conservativa 0,8%; cross-check RGS</t>
  </si>
  <si>
    <t>OCPI Cattolica — Spesa pensionistica verso il 17%</t>
  </si>
  <si>
    <t>Critica ipotesi RGS post-2040 ottimistiche</t>
  </si>
  <si>
    <t>OCPI Cattolica — TFR devoluto al fondo INPS</t>
  </si>
  <si>
    <t>Secondo pilastro mancato; 30 mld/anno</t>
  </si>
  <si>
    <t>UPB — Audizioni DDL Bilancio 2025</t>
  </si>
  <si>
    <t>Leve C, G, H stime</t>
  </si>
  <si>
    <t>INPS-UPB — Quota 100 a 3 anni</t>
  </si>
  <si>
    <t>2022</t>
  </si>
  <si>
    <t>Costo deroghe; chiusura</t>
  </si>
  <si>
    <t>Sentenza Corte Costituzionale 167/2025</t>
  </si>
  <si>
    <t>Sotto-indicizzazione progressiva per scaglioni — Leva G</t>
  </si>
  <si>
    <t>Camera dei Deputati — Conto consuntivo 2024</t>
  </si>
  <si>
    <t>Trasferimenti previdenziali ex deputati (perimetro vitalizi)</t>
  </si>
  <si>
    <t>OECD — Pensions at a Glance 2025</t>
  </si>
  <si>
    <t>Rendimento atteso 60/40 4-5% reale; reddito over 66</t>
  </si>
  <si>
    <t>AMECO — HWC2W industria Italia 1985-2024</t>
  </si>
  <si>
    <t>Stipendi nominali industria (riferimento Bertonelli Q9)</t>
  </si>
  <si>
    <t>Fondazione Leone Moressa — XV Rapp. immigrazione</t>
  </si>
  <si>
    <t>Saldo netto migranti +1,2 mld; 70% in età lavorativa</t>
  </si>
  <si>
    <t>Bertonelli U. — Dashboard 'Tutto Pensioni'</t>
  </si>
  <si>
    <t>12/05/2026</t>
  </si>
  <si>
    <t>Cross-check 22 indicatori; leve G,H,I,J da Q18A</t>
  </si>
  <si>
    <t>Madrian B., Shea D. — Inertia in 401(k)</t>
  </si>
  <si>
    <t>2001 QJE</t>
  </si>
  <si>
    <t>Auto-enrolment + opt-out finestrato</t>
  </si>
  <si>
    <t>Thaler R., Benartzi S. — Save More Tomorrow</t>
  </si>
  <si>
    <t>2004 JPE</t>
  </si>
  <si>
    <t>Framing delle 3 fasi temporali della biforcazione</t>
  </si>
  <si>
    <t>Aaron H. — Social Insurance Paradox</t>
  </si>
  <si>
    <t>1966</t>
  </si>
  <si>
    <t>n+g &gt; r; oggi violata in Italia</t>
  </si>
  <si>
    <t>Breyer F. — Intergenerational Pareto Eff.</t>
  </si>
  <si>
    <t>1989 JITE</t>
  </si>
  <si>
    <t>Costo di transizione non eliminabile</t>
  </si>
  <si>
    <t>Sinn H.-W. — Funded Pension System Useful</t>
  </si>
  <si>
    <t>2000 NBER</t>
  </si>
  <si>
    <t>Equita intergenerazionale crediti per figli</t>
  </si>
  <si>
    <t>Holzmann R., Hinz R. — Old-Age Income Support</t>
  </si>
  <si>
    <t>2005 WB</t>
  </si>
  <si>
    <t>Architettura multi-pilastro 0-1-2-3-4</t>
  </si>
  <si>
    <t>CHANGELOG v1 → v2</t>
  </si>
  <si>
    <t>Modifica</t>
  </si>
  <si>
    <t>Pensione media: distinta tra 'singola prestazione' 1.218 €/mese e 'reddito pensionato' 1.718 €/mese</t>
  </si>
  <si>
    <t>Coefficiente trasformazione 67 anni: 5,723 % → 5,608 % (DM MEF 20/11/2024)</t>
  </si>
  <si>
    <t>Patrimonio fondi pensione: 220 mld (2023) → 244 mld (COVIP 2024)</t>
  </si>
  <si>
    <t>PIL Italia anno 0: 2.100 → 2.184 mld (ISTAT 2024)</t>
  </si>
  <si>
    <t>Crescita salari reali: +0,5 % → +0,05 % (Eurostat ILC_DI03 + HICP)</t>
  </si>
  <si>
    <t>Pensioni vigenti come variabile operativa: 16 mln → 21,3 mln (con riferimento 16,3 pensionati)</t>
  </si>
  <si>
    <t>Età pensionabile effettiva 63,8 aggiunta come parametro</t>
  </si>
  <si>
    <t>Spesa PAYG/PIL: traiettoria RGS (15,4 % → 17,1 % al 2040 → 14 % verso 2070) invece di costanza</t>
  </si>
  <si>
    <t>Perimetro Livello 1: dipendenti privati FPLD + dipendenti pubblici CTPS (17,5 mln)</t>
  </si>
  <si>
    <t>Migrazione netta 165k/anno × 70 % età lavorativa = +0,116 mln occupati/anno</t>
  </si>
  <si>
    <t>Tax gap previdenziale 10 mld/anno aggiunto (consultivo, non nel saldo riforma)</t>
  </si>
  <si>
    <t>Leva F (P0 sostitutivo) RIFORMULATA: risparmio = NUOVI pensionati × quota_nuovo_regime × (PensMedia − P0). Non più sullo stock totale.</t>
  </si>
  <si>
    <t>Phase-in P0: 50 → 35 anni (calibrato su flusso 600k nuovi/anno)</t>
  </si>
  <si>
    <t>Spread BRDP: 0,75 % → 1,5 % reale (per appetibilità senza coercizione)</t>
  </si>
  <si>
    <t>Assorbimento BRDP: 80 % volontario (irrealistico) → 30 % coercitivo modello PPM-svedese</t>
  </si>
  <si>
    <t>% conversione EET→TEE: 50 % → 30 % (realistica)</t>
  </si>
  <si>
    <t>Rendimento fondi P2 base: 5 % → 4 % + scenari 3/4/5 % per sensitivity</t>
  </si>
  <si>
    <t>Leva G — Sotto-indicizzazione progressiva: 6 mld/anno (media range 2-10 mld)</t>
  </si>
  <si>
    <t>Leva H — Revisione reversibilità superstiti: 5 mld/anno (media 4-6 mld)</t>
  </si>
  <si>
    <t>Leva I — Aggancio aspettativa di vita (riavvio 2027): 2,75 mld/anno (media 2,2-3,3)</t>
  </si>
  <si>
    <t>Leva J — Chiusura anticipazioni residue: 1 mld/anno (media 0,75-1,3)</t>
  </si>
  <si>
    <t>Totale 4 leve di ricalibrazione: 14,75 mld/anno a regime</t>
  </si>
  <si>
    <t>Fase I (anni 1-10): 6 % totale = 2 % BRDP + 4 % P2</t>
  </si>
  <si>
    <t>Fase II (anni 11-20): 6 % totale = 0 % BRDP + 6 % P2 (transizione del debito conclusa)</t>
  </si>
  <si>
    <t>Fase III (anni 21-30): 8 % totale = 0 % BRDP + 8 % P2 (commitment graduale)</t>
  </si>
  <si>
    <t>Foglio 'Confronto Bertonelli': cross-check riga per riga delle 22 voci</t>
  </si>
  <si>
    <t>Foglio 'Fonti': 30 riferimenti documentati con anno e uso nel modello</t>
  </si>
  <si>
    <t>Foglio 'Changelog': questo elenco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</si>
</sst>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"/>
    <numFmt numFmtId="167" formatCode="0.000%"/>
    <numFmt numFmtId="168" formatCode="#,##0.000"/>
    <numFmt numFmtId="169" formatCode="#,##0.0"/>
  </numFmts>
  <fonts count="9" x14ac:knownFonts="1">
    <font>
      <sz val="11"/>
      <color theme="1"/>
      <name val="Calibri"/>
      <family val="2"/>
      <scheme val="minor"/>
    </font>
    <font>
      <b/>
      <sz val="14"/>
      <color rgb="FF1D4ED8"/>
      <name val="Calibri"/>
      <family val="2"/>
    </font>
    <font>
      <i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color rgb="FF1E3A8A"/>
      <name val="Calibri"/>
      <family val="2"/>
    </font>
    <font>
      <b/>
      <sz val="13"/>
      <color rgb="FF1D4ED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8"/>
      <color rgb="FF7F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D7FFD7"/>
        <bgColor rgb="FFD7FFD7"/>
      </patternFill>
    </fill>
    <fill>
      <patternFill patternType="solid">
        <fgColor rgb="FFFFD7D7"/>
        <bgColor rgb="FFFFD7D7"/>
      </patternFill>
    </fill>
    <fill>
      <patternFill patternType="solid">
        <fgColor rgb="FFE2CFEF"/>
        <bgColor rgb="FFE2CFEF"/>
      </patternFill>
    </fill>
    <fill>
      <patternFill patternType="solid">
        <fgColor rgb="FFDDEEFF"/>
        <bgColor rgb="FFDDEEFF"/>
      </patternFill>
    </fill>
  </fills>
  <borders count="4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  <diagonal/>
    </border>
    <border>
      <left/>
      <right/>
      <top style="thin">
        <color rgb="FFBFC8D2"/>
      </top>
      <bottom style="thin">
        <color rgb="FFBFC8D2"/>
      </bottom>
      <diagonal/>
    </border>
    <border>
      <left/>
      <right style="thin">
        <color rgb="FFBFC8D2"/>
      </right>
      <top style="thin">
        <color rgb="FFBFC8D2"/>
      </top>
      <bottom style="thin">
        <color rgb="FFBFC8D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2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10" fontId="0" fillId="5" borderId="1" xfId="0" applyNumberForma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166" fontId="0" fillId="4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7" fontId="0" fillId="4" borderId="1" xfId="0" applyNumberForma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4" fillId="3" borderId="0" xfId="0" applyFont="1" applyFill="1"/>
    <xf numFmtId="0" fontId="6" fillId="0" borderId="0" xfId="0" applyFont="1"/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7" borderId="0" xfId="0" applyFont="1" applyFill="1"/>
    <xf numFmtId="0" fontId="0" fillId="8" borderId="0" xfId="0" applyFill="1"/>
    <xf numFmtId="0" fontId="0" fillId="9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168" fontId="0" fillId="9" borderId="1" xfId="0" applyNumberFormat="1" applyFill="1" applyBorder="1" applyAlignment="1">
      <alignment horizontal="right" vertical="center"/>
    </xf>
    <xf numFmtId="2" fontId="0" fillId="9" borderId="1" xfId="0" applyNumberFormat="1" applyFill="1" applyBorder="1" applyAlignment="1">
      <alignment horizontal="right" vertical="center"/>
    </xf>
    <xf numFmtId="169" fontId="0" fillId="9" borderId="1" xfId="0" applyNumberFormat="1" applyFill="1" applyBorder="1" applyAlignment="1">
      <alignment horizontal="right" vertical="center"/>
    </xf>
    <xf numFmtId="3" fontId="0" fillId="9" borderId="1" xfId="0" applyNumberFormat="1" applyFill="1" applyBorder="1" applyAlignment="1">
      <alignment horizontal="right" vertical="center"/>
    </xf>
    <xf numFmtId="10" fontId="0" fillId="9" borderId="1" xfId="0" applyNumberFormat="1" applyFill="1" applyBorder="1" applyAlignment="1">
      <alignment horizontal="right" vertical="center"/>
    </xf>
    <xf numFmtId="169" fontId="0" fillId="10" borderId="1" xfId="0" applyNumberFormat="1" applyFill="1" applyBorder="1" applyAlignment="1">
      <alignment horizontal="right" vertical="center"/>
    </xf>
    <xf numFmtId="169" fontId="0" fillId="11" borderId="1" xfId="0" applyNumberFormat="1" applyFill="1" applyBorder="1" applyAlignment="1">
      <alignment horizontal="right" vertical="center"/>
    </xf>
    <xf numFmtId="169" fontId="0" fillId="12" borderId="1" xfId="0" applyNumberFormat="1" applyFill="1" applyBorder="1" applyAlignment="1">
      <alignment horizontal="right" vertical="center"/>
    </xf>
    <xf numFmtId="10" fontId="0" fillId="12" borderId="1" xfId="0" applyNumberFormat="1" applyFill="1" applyBorder="1" applyAlignment="1">
      <alignment horizontal="right" vertical="center"/>
    </xf>
    <xf numFmtId="0" fontId="8" fillId="0" borderId="0" xfId="0" applyFont="1"/>
    <xf numFmtId="0" fontId="2" fillId="0" borderId="0" xfId="0" applyFont="1"/>
    <xf numFmtId="0" fontId="0" fillId="0" borderId="0" xfId="0"/>
    <xf numFmtId="0" fontId="5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workbookViewId="0">
      <selection activeCell="A74" sqref="A74:E74"/>
    </sheetView>
  </sheetViews>
  <sheetFormatPr baseColWidth="10" defaultColWidth="8.83203125" defaultRowHeight="15" x14ac:dyDescent="0.2"/>
  <cols>
    <col min="1" max="1" width="46" customWidth="1"/>
    <col min="2" max="3" width="14" customWidth="1"/>
    <col min="4" max="4" width="60" customWidth="1"/>
    <col min="5" max="5" width="45" customWidth="1"/>
  </cols>
  <sheetData>
    <row r="1" spans="1:5" ht="22" customHeight="1" x14ac:dyDescent="0.25">
      <c r="A1" s="48" t="s">
        <v>31</v>
      </c>
      <c r="B1" s="43"/>
      <c r="C1" s="43"/>
      <c r="D1" s="43"/>
      <c r="E1" s="43"/>
    </row>
    <row r="2" spans="1:5" x14ac:dyDescent="0.2">
      <c r="A2" s="42" t="s">
        <v>32</v>
      </c>
      <c r="B2" s="43"/>
      <c r="C2" s="43"/>
      <c r="D2" s="43"/>
      <c r="E2" s="43"/>
    </row>
    <row r="4" spans="1:5" x14ac:dyDescent="0.2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</row>
    <row r="5" spans="1:5" x14ac:dyDescent="0.2">
      <c r="A5" s="45" t="s">
        <v>38</v>
      </c>
      <c r="B5" s="46"/>
      <c r="C5" s="46"/>
      <c r="D5" s="46"/>
      <c r="E5" s="47"/>
    </row>
    <row r="6" spans="1:5" ht="16" customHeight="1" x14ac:dyDescent="0.2">
      <c r="A6" s="2" t="s">
        <v>39</v>
      </c>
      <c r="B6" s="3">
        <v>2026</v>
      </c>
      <c r="C6" s="2" t="s">
        <v>40</v>
      </c>
      <c r="D6" s="2" t="s">
        <v>41</v>
      </c>
      <c r="E6" s="2" t="s">
        <v>42</v>
      </c>
    </row>
    <row r="7" spans="1:5" ht="16" customHeight="1" x14ac:dyDescent="0.2">
      <c r="A7" s="2" t="s">
        <v>43</v>
      </c>
      <c r="B7" s="3">
        <v>30</v>
      </c>
      <c r="C7" s="2" t="s">
        <v>44</v>
      </c>
      <c r="D7" s="2" t="s">
        <v>45</v>
      </c>
      <c r="E7" s="2" t="s">
        <v>46</v>
      </c>
    </row>
    <row r="8" spans="1:5" ht="16" customHeight="1" x14ac:dyDescent="0.2">
      <c r="A8" s="4" t="s">
        <v>47</v>
      </c>
      <c r="B8" s="5">
        <v>16.3</v>
      </c>
      <c r="C8" s="4" t="s">
        <v>48</v>
      </c>
      <c r="D8" s="4" t="s">
        <v>49</v>
      </c>
      <c r="E8" s="4" t="s">
        <v>50</v>
      </c>
    </row>
    <row r="9" spans="1:5" ht="16" customHeight="1" x14ac:dyDescent="0.2">
      <c r="A9" s="4" t="s">
        <v>51</v>
      </c>
      <c r="B9" s="5">
        <v>21.3</v>
      </c>
      <c r="C9" s="4" t="s">
        <v>48</v>
      </c>
      <c r="D9" s="4" t="s">
        <v>52</v>
      </c>
      <c r="E9" s="4" t="s">
        <v>53</v>
      </c>
    </row>
    <row r="10" spans="1:5" ht="16" customHeight="1" x14ac:dyDescent="0.2">
      <c r="A10" s="4" t="s">
        <v>54</v>
      </c>
      <c r="B10" s="5">
        <v>1.41</v>
      </c>
      <c r="C10" s="4" t="s">
        <v>55</v>
      </c>
      <c r="D10" s="4" t="s">
        <v>56</v>
      </c>
      <c r="E10" s="4" t="s">
        <v>57</v>
      </c>
    </row>
    <row r="11" spans="1:5" ht="16" customHeight="1" x14ac:dyDescent="0.2">
      <c r="A11" s="4" t="s">
        <v>58</v>
      </c>
      <c r="B11" s="6">
        <v>14</v>
      </c>
      <c r="C11" s="4" t="s">
        <v>48</v>
      </c>
      <c r="D11" s="4" t="s">
        <v>59</v>
      </c>
      <c r="E11" s="4" t="s">
        <v>60</v>
      </c>
    </row>
    <row r="12" spans="1:5" ht="16" customHeight="1" x14ac:dyDescent="0.2">
      <c r="A12" s="4" t="s">
        <v>61</v>
      </c>
      <c r="B12" s="6">
        <v>3.5</v>
      </c>
      <c r="C12" s="4" t="s">
        <v>48</v>
      </c>
      <c r="D12" s="4" t="s">
        <v>62</v>
      </c>
      <c r="E12" s="4" t="s">
        <v>63</v>
      </c>
    </row>
    <row r="13" spans="1:5" ht="16" customHeight="1" x14ac:dyDescent="0.2">
      <c r="A13" s="4" t="s">
        <v>64</v>
      </c>
      <c r="B13" s="6">
        <v>17.5</v>
      </c>
      <c r="C13" s="4" t="s">
        <v>48</v>
      </c>
      <c r="D13" s="4" t="s">
        <v>65</v>
      </c>
      <c r="E13" s="4" t="s">
        <v>66</v>
      </c>
    </row>
    <row r="14" spans="1:5" ht="16" customHeight="1" x14ac:dyDescent="0.2">
      <c r="A14" s="7" t="s">
        <v>67</v>
      </c>
      <c r="B14" s="8">
        <v>0.01</v>
      </c>
      <c r="C14" s="7" t="s">
        <v>68</v>
      </c>
      <c r="D14" s="7" t="s">
        <v>69</v>
      </c>
      <c r="E14" s="7" t="s">
        <v>70</v>
      </c>
    </row>
    <row r="15" spans="1:5" ht="16" customHeight="1" x14ac:dyDescent="0.2">
      <c r="A15" s="2" t="s">
        <v>71</v>
      </c>
      <c r="B15" s="9">
        <v>-5.0000000000000001E-3</v>
      </c>
      <c r="C15" s="2" t="s">
        <v>68</v>
      </c>
      <c r="D15" s="2" t="s">
        <v>72</v>
      </c>
      <c r="E15" s="2" t="s">
        <v>73</v>
      </c>
    </row>
    <row r="16" spans="1:5" ht="16" customHeight="1" x14ac:dyDescent="0.2">
      <c r="A16" s="4" t="s">
        <v>74</v>
      </c>
      <c r="B16" s="10">
        <v>165000</v>
      </c>
      <c r="C16" s="4" t="s">
        <v>75</v>
      </c>
      <c r="D16" s="4" t="s">
        <v>76</v>
      </c>
      <c r="E16" s="4" t="s">
        <v>77</v>
      </c>
    </row>
    <row r="17" spans="1:5" ht="16" customHeight="1" x14ac:dyDescent="0.2">
      <c r="A17" s="4" t="s">
        <v>78</v>
      </c>
      <c r="B17" s="11">
        <v>0.7</v>
      </c>
      <c r="C17" s="4" t="s">
        <v>79</v>
      </c>
      <c r="D17" s="4" t="s">
        <v>80</v>
      </c>
      <c r="E17" s="4" t="s">
        <v>81</v>
      </c>
    </row>
    <row r="18" spans="1:5" ht="16" customHeight="1" x14ac:dyDescent="0.2">
      <c r="A18" s="4" t="s">
        <v>82</v>
      </c>
      <c r="B18" s="12">
        <v>0.11600000000000001</v>
      </c>
      <c r="C18" s="4" t="s">
        <v>83</v>
      </c>
      <c r="D18" s="4" t="s">
        <v>84</v>
      </c>
      <c r="E18" s="4" t="s">
        <v>85</v>
      </c>
    </row>
    <row r="19" spans="1:5" ht="16" customHeight="1" x14ac:dyDescent="0.2">
      <c r="A19" s="2" t="s">
        <v>86</v>
      </c>
      <c r="B19" s="13">
        <v>2184</v>
      </c>
      <c r="C19" s="2" t="s">
        <v>87</v>
      </c>
      <c r="D19" s="2" t="s">
        <v>88</v>
      </c>
      <c r="E19" s="2" t="s">
        <v>89</v>
      </c>
    </row>
    <row r="20" spans="1:5" ht="32" customHeight="1" x14ac:dyDescent="0.2">
      <c r="A20" s="7" t="s">
        <v>90</v>
      </c>
      <c r="B20" s="8">
        <v>8.0000000000000002E-3</v>
      </c>
      <c r="C20" s="7" t="s">
        <v>68</v>
      </c>
      <c r="D20" s="7" t="s">
        <v>91</v>
      </c>
      <c r="E20" s="7" t="s">
        <v>92</v>
      </c>
    </row>
    <row r="21" spans="1:5" ht="16" customHeight="1" x14ac:dyDescent="0.2">
      <c r="A21" s="2" t="s">
        <v>93</v>
      </c>
      <c r="B21" s="3">
        <v>26000</v>
      </c>
      <c r="C21" s="2" t="s">
        <v>94</v>
      </c>
      <c r="D21" s="2" t="s">
        <v>95</v>
      </c>
      <c r="E21" s="2" t="s">
        <v>96</v>
      </c>
    </row>
    <row r="22" spans="1:5" ht="32" customHeight="1" x14ac:dyDescent="0.2">
      <c r="A22" s="4" t="s">
        <v>97</v>
      </c>
      <c r="B22" s="14">
        <v>2E-3</v>
      </c>
      <c r="C22" s="4" t="s">
        <v>68</v>
      </c>
      <c r="D22" s="4" t="s">
        <v>98</v>
      </c>
      <c r="E22" s="4" t="s">
        <v>99</v>
      </c>
    </row>
    <row r="24" spans="1:5" x14ac:dyDescent="0.2">
      <c r="A24" s="45" t="s">
        <v>100</v>
      </c>
      <c r="B24" s="46"/>
      <c r="C24" s="46"/>
      <c r="D24" s="46"/>
      <c r="E24" s="47"/>
    </row>
    <row r="25" spans="1:5" ht="16" customHeight="1" x14ac:dyDescent="0.2">
      <c r="A25" s="2" t="s">
        <v>101</v>
      </c>
      <c r="B25" s="9">
        <v>0.33</v>
      </c>
      <c r="C25" s="2" t="s">
        <v>79</v>
      </c>
      <c r="D25" s="2" t="s">
        <v>102</v>
      </c>
      <c r="E25" s="2" t="s">
        <v>103</v>
      </c>
    </row>
    <row r="26" spans="1:5" ht="32" customHeight="1" x14ac:dyDescent="0.2">
      <c r="A26" s="4" t="s">
        <v>104</v>
      </c>
      <c r="B26" s="15">
        <v>1218</v>
      </c>
      <c r="C26" s="4" t="s">
        <v>105</v>
      </c>
      <c r="D26" s="4" t="s">
        <v>106</v>
      </c>
      <c r="E26" s="4" t="s">
        <v>107</v>
      </c>
    </row>
    <row r="27" spans="1:5" ht="16" customHeight="1" x14ac:dyDescent="0.2">
      <c r="A27" s="4" t="s">
        <v>108</v>
      </c>
      <c r="B27" s="15">
        <v>1718</v>
      </c>
      <c r="C27" s="4" t="s">
        <v>105</v>
      </c>
      <c r="D27" s="4" t="s">
        <v>109</v>
      </c>
      <c r="E27" s="4" t="s">
        <v>110</v>
      </c>
    </row>
    <row r="28" spans="1:5" ht="16" customHeight="1" x14ac:dyDescent="0.2">
      <c r="A28" s="2" t="s">
        <v>111</v>
      </c>
      <c r="B28" s="3">
        <v>13</v>
      </c>
      <c r="C28" s="2" t="s">
        <v>55</v>
      </c>
      <c r="D28" s="2" t="s">
        <v>112</v>
      </c>
      <c r="E28" s="2" t="s">
        <v>113</v>
      </c>
    </row>
    <row r="29" spans="1:5" ht="16" customHeight="1" x14ac:dyDescent="0.2">
      <c r="A29" s="2" t="s">
        <v>114</v>
      </c>
      <c r="B29" s="3">
        <v>67</v>
      </c>
      <c r="C29" s="2" t="s">
        <v>44</v>
      </c>
      <c r="D29" s="2" t="s">
        <v>115</v>
      </c>
      <c r="E29" s="2" t="s">
        <v>116</v>
      </c>
    </row>
    <row r="30" spans="1:5" ht="16" customHeight="1" x14ac:dyDescent="0.2">
      <c r="A30" s="4" t="s">
        <v>117</v>
      </c>
      <c r="B30" s="6">
        <v>63.8</v>
      </c>
      <c r="C30" s="4" t="s">
        <v>44</v>
      </c>
      <c r="D30" s="4" t="s">
        <v>118</v>
      </c>
      <c r="E30" s="4" t="s">
        <v>119</v>
      </c>
    </row>
    <row r="31" spans="1:5" ht="16" customHeight="1" x14ac:dyDescent="0.2">
      <c r="A31" s="4" t="s">
        <v>120</v>
      </c>
      <c r="B31" s="16">
        <v>5.6079999999999998E-2</v>
      </c>
      <c r="C31" s="4" t="s">
        <v>79</v>
      </c>
      <c r="D31" s="4" t="s">
        <v>121</v>
      </c>
      <c r="E31" s="4" t="s">
        <v>122</v>
      </c>
    </row>
    <row r="32" spans="1:5" ht="16" customHeight="1" x14ac:dyDescent="0.2">
      <c r="A32" s="4" t="s">
        <v>123</v>
      </c>
      <c r="B32" s="14">
        <v>0.154</v>
      </c>
      <c r="C32" s="4" t="s">
        <v>79</v>
      </c>
      <c r="D32" s="4" t="s">
        <v>124</v>
      </c>
      <c r="E32" s="4" t="s">
        <v>125</v>
      </c>
    </row>
    <row r="33" spans="1:5" ht="16" customHeight="1" x14ac:dyDescent="0.2">
      <c r="A33" s="4" t="s">
        <v>126</v>
      </c>
      <c r="B33" s="14">
        <v>0.17100000000000001</v>
      </c>
      <c r="C33" s="4" t="s">
        <v>79</v>
      </c>
      <c r="D33" s="4" t="s">
        <v>127</v>
      </c>
      <c r="E33" s="4" t="s">
        <v>128</v>
      </c>
    </row>
    <row r="34" spans="1:5" ht="16" customHeight="1" x14ac:dyDescent="0.2">
      <c r="A34" s="4" t="s">
        <v>129</v>
      </c>
      <c r="B34" s="14">
        <v>0.14000000000000001</v>
      </c>
      <c r="C34" s="4" t="s">
        <v>79</v>
      </c>
      <c r="D34" s="4" t="s">
        <v>130</v>
      </c>
      <c r="E34" s="4" t="s">
        <v>131</v>
      </c>
    </row>
    <row r="35" spans="1:5" ht="16" customHeight="1" x14ac:dyDescent="0.2">
      <c r="A35" s="4" t="s">
        <v>132</v>
      </c>
      <c r="B35" s="15">
        <v>2040</v>
      </c>
      <c r="C35" s="4" t="s">
        <v>40</v>
      </c>
      <c r="D35" s="4" t="s">
        <v>133</v>
      </c>
      <c r="E35" s="4" t="s">
        <v>134</v>
      </c>
    </row>
    <row r="37" spans="1:5" x14ac:dyDescent="0.2">
      <c r="A37" s="45" t="s">
        <v>135</v>
      </c>
      <c r="B37" s="46"/>
      <c r="C37" s="46"/>
      <c r="D37" s="46"/>
      <c r="E37" s="47"/>
    </row>
    <row r="38" spans="1:5" ht="16" customHeight="1" x14ac:dyDescent="0.2">
      <c r="A38" s="2" t="s">
        <v>136</v>
      </c>
      <c r="B38" s="3">
        <v>650</v>
      </c>
      <c r="C38" s="2" t="s">
        <v>105</v>
      </c>
      <c r="D38" s="2" t="s">
        <v>137</v>
      </c>
      <c r="E38" s="2" t="s">
        <v>138</v>
      </c>
    </row>
    <row r="39" spans="1:5" ht="16" customHeight="1" x14ac:dyDescent="0.2">
      <c r="A39" s="7" t="s">
        <v>139</v>
      </c>
      <c r="B39" s="8">
        <f>B38/B40</f>
        <v>0.52</v>
      </c>
      <c r="C39" s="7" t="s">
        <v>79</v>
      </c>
      <c r="D39" s="7" t="s">
        <v>140</v>
      </c>
      <c r="E39" s="7" t="s">
        <v>141</v>
      </c>
    </row>
    <row r="40" spans="1:5" ht="16" customHeight="1" x14ac:dyDescent="0.2">
      <c r="A40" s="2" t="s">
        <v>142</v>
      </c>
      <c r="B40" s="3">
        <v>1250</v>
      </c>
      <c r="C40" s="2" t="s">
        <v>105</v>
      </c>
      <c r="D40" s="2" t="s">
        <v>143</v>
      </c>
      <c r="E40" s="2" t="s">
        <v>144</v>
      </c>
    </row>
    <row r="41" spans="1:5" ht="16" customHeight="1" x14ac:dyDescent="0.2">
      <c r="A41" s="2" t="s">
        <v>145</v>
      </c>
      <c r="B41" s="3">
        <v>50000</v>
      </c>
      <c r="C41" s="2" t="s">
        <v>146</v>
      </c>
      <c r="D41" s="2" t="s">
        <v>147</v>
      </c>
      <c r="E41" s="2" t="s">
        <v>148</v>
      </c>
    </row>
    <row r="42" spans="1:5" ht="16" customHeight="1" x14ac:dyDescent="0.2">
      <c r="A42" s="2" t="s">
        <v>149</v>
      </c>
      <c r="B42" s="17">
        <v>4.4999999999999998E-2</v>
      </c>
      <c r="C42" s="2" t="s">
        <v>79</v>
      </c>
      <c r="D42" s="2" t="s">
        <v>150</v>
      </c>
      <c r="E42" s="2" t="s">
        <v>151</v>
      </c>
    </row>
    <row r="43" spans="1:5" ht="16" customHeight="1" x14ac:dyDescent="0.2">
      <c r="A43" s="2" t="s">
        <v>152</v>
      </c>
      <c r="B43" s="3">
        <f>MAX(0,B22-B23*(B45*B17*((1+B49)^B50-1)/B48)*B41/12)</f>
        <v>2E-3</v>
      </c>
      <c r="C43" s="2" t="s">
        <v>105</v>
      </c>
      <c r="D43" s="2" t="s">
        <v>153</v>
      </c>
      <c r="E43" s="2" t="s">
        <v>85</v>
      </c>
    </row>
    <row r="44" spans="1:5" ht="16" customHeight="1" x14ac:dyDescent="0.2">
      <c r="A44" s="4" t="s">
        <v>154</v>
      </c>
      <c r="B44" s="15">
        <v>35</v>
      </c>
      <c r="C44" s="4" t="s">
        <v>44</v>
      </c>
      <c r="D44" s="4" t="s">
        <v>155</v>
      </c>
      <c r="E44" s="4" t="s">
        <v>156</v>
      </c>
    </row>
    <row r="45" spans="1:5" ht="16" customHeight="1" x14ac:dyDescent="0.2">
      <c r="A45" s="4" t="s">
        <v>157</v>
      </c>
      <c r="B45" s="10">
        <v>600000</v>
      </c>
      <c r="C45" s="4" t="s">
        <v>75</v>
      </c>
      <c r="D45" s="4" t="s">
        <v>158</v>
      </c>
      <c r="E45" s="4" t="s">
        <v>159</v>
      </c>
    </row>
    <row r="47" spans="1:5" x14ac:dyDescent="0.2">
      <c r="A47" s="45" t="s">
        <v>160</v>
      </c>
      <c r="B47" s="46"/>
      <c r="C47" s="46"/>
      <c r="D47" s="46"/>
      <c r="E47" s="47"/>
    </row>
    <row r="48" spans="1:5" ht="16" customHeight="1" x14ac:dyDescent="0.2">
      <c r="A48" s="7" t="s">
        <v>161</v>
      </c>
      <c r="B48" s="8">
        <v>0.06</v>
      </c>
      <c r="C48" s="7" t="s">
        <v>79</v>
      </c>
      <c r="D48" s="7" t="s">
        <v>162</v>
      </c>
      <c r="E48" s="7" t="s">
        <v>138</v>
      </c>
    </row>
    <row r="49" spans="1:5" ht="16" customHeight="1" x14ac:dyDescent="0.2">
      <c r="A49" s="2" t="s">
        <v>163</v>
      </c>
      <c r="B49" s="9">
        <v>0.02</v>
      </c>
      <c r="C49" s="2" t="s">
        <v>79</v>
      </c>
      <c r="D49" s="2" t="s">
        <v>164</v>
      </c>
      <c r="E49" s="2" t="s">
        <v>138</v>
      </c>
    </row>
    <row r="50" spans="1:5" ht="16" customHeight="1" x14ac:dyDescent="0.2">
      <c r="A50" s="2" t="s">
        <v>165</v>
      </c>
      <c r="B50" s="9">
        <v>0.04</v>
      </c>
      <c r="C50" s="2" t="s">
        <v>79</v>
      </c>
      <c r="D50" s="2" t="s">
        <v>164</v>
      </c>
      <c r="E50" s="2" t="s">
        <v>138</v>
      </c>
    </row>
    <row r="51" spans="1:5" ht="16" customHeight="1" x14ac:dyDescent="0.2">
      <c r="A51" s="4" t="s">
        <v>166</v>
      </c>
      <c r="B51" s="14">
        <v>0.06</v>
      </c>
      <c r="C51" s="4" t="s">
        <v>79</v>
      </c>
      <c r="D51" s="4" t="s">
        <v>167</v>
      </c>
      <c r="E51" s="4" t="s">
        <v>168</v>
      </c>
    </row>
    <row r="52" spans="1:5" ht="16" customHeight="1" x14ac:dyDescent="0.2">
      <c r="A52" s="4" t="s">
        <v>169</v>
      </c>
      <c r="B52" s="14">
        <v>0</v>
      </c>
      <c r="C52" s="4" t="s">
        <v>79</v>
      </c>
      <c r="D52" s="4" t="s">
        <v>170</v>
      </c>
      <c r="E52" s="4" t="s">
        <v>171</v>
      </c>
    </row>
    <row r="53" spans="1:5" ht="16" customHeight="1" x14ac:dyDescent="0.2">
      <c r="A53" s="4" t="s">
        <v>172</v>
      </c>
      <c r="B53" s="14">
        <v>0.06</v>
      </c>
      <c r="C53" s="4" t="s">
        <v>79</v>
      </c>
      <c r="D53" s="4" t="s">
        <v>173</v>
      </c>
      <c r="E53" s="4" t="s">
        <v>171</v>
      </c>
    </row>
    <row r="54" spans="1:5" ht="16" customHeight="1" x14ac:dyDescent="0.2">
      <c r="A54" s="4" t="s">
        <v>174</v>
      </c>
      <c r="B54" s="14">
        <v>0.08</v>
      </c>
      <c r="C54" s="4" t="s">
        <v>79</v>
      </c>
      <c r="D54" s="4" t="s">
        <v>175</v>
      </c>
      <c r="E54" s="4" t="s">
        <v>176</v>
      </c>
    </row>
    <row r="55" spans="1:5" ht="16" customHeight="1" x14ac:dyDescent="0.2">
      <c r="A55" s="2" t="s">
        <v>177</v>
      </c>
      <c r="B55" s="17">
        <v>0.33</v>
      </c>
      <c r="C55" s="2" t="s">
        <v>79</v>
      </c>
      <c r="D55" s="2" t="s">
        <v>178</v>
      </c>
      <c r="E55" s="2" t="s">
        <v>179</v>
      </c>
    </row>
    <row r="56" spans="1:5" ht="16" customHeight="1" x14ac:dyDescent="0.2">
      <c r="A56" s="2" t="s">
        <v>180</v>
      </c>
      <c r="B56" s="17">
        <v>0.6</v>
      </c>
      <c r="C56" s="2" t="s">
        <v>79</v>
      </c>
      <c r="D56" s="2" t="s">
        <v>178</v>
      </c>
      <c r="E56" s="2" t="s">
        <v>73</v>
      </c>
    </row>
    <row r="57" spans="1:5" ht="16" customHeight="1" x14ac:dyDescent="0.2">
      <c r="A57" s="2" t="s">
        <v>181</v>
      </c>
      <c r="B57" s="17">
        <v>1</v>
      </c>
      <c r="C57" s="2" t="s">
        <v>79</v>
      </c>
      <c r="D57" s="2" t="s">
        <v>182</v>
      </c>
      <c r="E57" s="2" t="s">
        <v>85</v>
      </c>
    </row>
    <row r="58" spans="1:5" ht="16" customHeight="1" x14ac:dyDescent="0.2">
      <c r="A58" s="4" t="s">
        <v>183</v>
      </c>
      <c r="B58" s="14">
        <v>0.04</v>
      </c>
      <c r="C58" s="4" t="s">
        <v>79</v>
      </c>
      <c r="D58" s="4" t="s">
        <v>184</v>
      </c>
      <c r="E58" s="4" t="s">
        <v>185</v>
      </c>
    </row>
    <row r="59" spans="1:5" ht="16" customHeight="1" x14ac:dyDescent="0.2">
      <c r="A59" s="4" t="s">
        <v>186</v>
      </c>
      <c r="B59" s="14">
        <v>0.03</v>
      </c>
      <c r="C59" s="4" t="s">
        <v>79</v>
      </c>
      <c r="D59" s="4" t="s">
        <v>187</v>
      </c>
      <c r="E59" s="4" t="s">
        <v>188</v>
      </c>
    </row>
    <row r="60" spans="1:5" ht="16" customHeight="1" x14ac:dyDescent="0.2">
      <c r="A60" s="4" t="s">
        <v>189</v>
      </c>
      <c r="B60" s="14">
        <v>0.05</v>
      </c>
      <c r="C60" s="4" t="s">
        <v>79</v>
      </c>
      <c r="D60" s="4" t="s">
        <v>187</v>
      </c>
      <c r="E60" s="4" t="s">
        <v>188</v>
      </c>
    </row>
    <row r="61" spans="1:5" ht="16" customHeight="1" x14ac:dyDescent="0.2">
      <c r="A61" s="2" t="s">
        <v>190</v>
      </c>
      <c r="B61" s="3">
        <v>40</v>
      </c>
      <c r="C61" s="2" t="s">
        <v>44</v>
      </c>
      <c r="D61" s="2" t="s">
        <v>191</v>
      </c>
      <c r="E61" s="2" t="s">
        <v>192</v>
      </c>
    </row>
    <row r="62" spans="1:5" ht="16" customHeight="1" x14ac:dyDescent="0.2">
      <c r="A62" s="4" t="s">
        <v>193</v>
      </c>
      <c r="B62" s="16">
        <v>5.6079999999999998E-2</v>
      </c>
      <c r="C62" s="4" t="s">
        <v>79</v>
      </c>
      <c r="D62" s="4" t="s">
        <v>194</v>
      </c>
      <c r="E62" s="4" t="s">
        <v>122</v>
      </c>
    </row>
    <row r="63" spans="1:5" ht="32" customHeight="1" x14ac:dyDescent="0.2">
      <c r="A63" s="4" t="s">
        <v>195</v>
      </c>
      <c r="B63" s="14">
        <v>1.4999999999999999E-2</v>
      </c>
      <c r="C63" s="4" t="s">
        <v>79</v>
      </c>
      <c r="D63" s="4" t="s">
        <v>196</v>
      </c>
      <c r="E63" s="4" t="s">
        <v>197</v>
      </c>
    </row>
    <row r="64" spans="1:5" ht="16" customHeight="1" x14ac:dyDescent="0.2">
      <c r="A64" s="4" t="s">
        <v>198</v>
      </c>
      <c r="B64" s="14">
        <v>5.0000000000000001E-4</v>
      </c>
      <c r="C64" s="4" t="s">
        <v>79</v>
      </c>
      <c r="D64" s="4" t="s">
        <v>199</v>
      </c>
      <c r="E64" s="4" t="s">
        <v>200</v>
      </c>
    </row>
    <row r="65" spans="1:5" ht="16" customHeight="1" x14ac:dyDescent="0.2">
      <c r="A65" s="4" t="s">
        <v>201</v>
      </c>
      <c r="B65" s="11">
        <v>0.3</v>
      </c>
      <c r="C65" s="4" t="s">
        <v>79</v>
      </c>
      <c r="D65" s="4" t="s">
        <v>202</v>
      </c>
      <c r="E65" s="4" t="s">
        <v>203</v>
      </c>
    </row>
    <row r="67" spans="1:5" x14ac:dyDescent="0.2">
      <c r="A67" s="45" t="s">
        <v>204</v>
      </c>
      <c r="B67" s="46"/>
      <c r="C67" s="46"/>
      <c r="D67" s="46"/>
      <c r="E67" s="47"/>
    </row>
    <row r="68" spans="1:5" ht="16" customHeight="1" x14ac:dyDescent="0.2">
      <c r="A68" s="2" t="s">
        <v>205</v>
      </c>
      <c r="B68" s="17">
        <v>0.27</v>
      </c>
      <c r="C68" s="2" t="s">
        <v>79</v>
      </c>
      <c r="D68" s="2" t="s">
        <v>206</v>
      </c>
      <c r="E68" s="2" t="s">
        <v>207</v>
      </c>
    </row>
    <row r="69" spans="1:5" ht="16" customHeight="1" x14ac:dyDescent="0.2">
      <c r="A69" s="2" t="s">
        <v>208</v>
      </c>
      <c r="B69" s="17">
        <v>0.1</v>
      </c>
      <c r="C69" s="2" t="s">
        <v>79</v>
      </c>
      <c r="D69" s="2" t="s">
        <v>209</v>
      </c>
      <c r="E69" s="2" t="s">
        <v>138</v>
      </c>
    </row>
    <row r="70" spans="1:5" ht="16" customHeight="1" x14ac:dyDescent="0.2">
      <c r="A70" s="4" t="s">
        <v>210</v>
      </c>
      <c r="B70" s="11">
        <v>0.3</v>
      </c>
      <c r="C70" s="4" t="s">
        <v>79</v>
      </c>
      <c r="D70" s="4" t="s">
        <v>211</v>
      </c>
      <c r="E70" s="4" t="s">
        <v>212</v>
      </c>
    </row>
    <row r="71" spans="1:5" ht="16" customHeight="1" x14ac:dyDescent="0.2">
      <c r="A71" s="4" t="s">
        <v>213</v>
      </c>
      <c r="B71" s="15">
        <v>244</v>
      </c>
      <c r="C71" s="4" t="s">
        <v>87</v>
      </c>
      <c r="D71" s="4" t="s">
        <v>214</v>
      </c>
      <c r="E71" s="4" t="s">
        <v>215</v>
      </c>
    </row>
    <row r="72" spans="1:5" ht="16" customHeight="1" x14ac:dyDescent="0.2">
      <c r="A72" s="2" t="s">
        <v>216</v>
      </c>
      <c r="B72" s="3">
        <v>3</v>
      </c>
      <c r="C72" s="2" t="s">
        <v>44</v>
      </c>
      <c r="D72" s="2" t="s">
        <v>217</v>
      </c>
      <c r="E72" s="2" t="s">
        <v>138</v>
      </c>
    </row>
    <row r="74" spans="1:5" x14ac:dyDescent="0.2">
      <c r="A74" s="45" t="s">
        <v>218</v>
      </c>
      <c r="B74" s="46"/>
      <c r="C74" s="46"/>
      <c r="D74" s="46"/>
      <c r="E74" s="47"/>
    </row>
    <row r="75" spans="1:5" ht="16" customHeight="1" x14ac:dyDescent="0.2">
      <c r="A75" s="2" t="s">
        <v>219</v>
      </c>
      <c r="B75" s="3">
        <v>67</v>
      </c>
      <c r="C75" s="2" t="s">
        <v>44</v>
      </c>
      <c r="D75" s="2" t="s">
        <v>220</v>
      </c>
      <c r="E75" s="2" t="s">
        <v>116</v>
      </c>
    </row>
    <row r="76" spans="1:5" ht="16" customHeight="1" x14ac:dyDescent="0.2">
      <c r="A76" s="2" t="s">
        <v>221</v>
      </c>
      <c r="B76" s="3">
        <v>69</v>
      </c>
      <c r="C76" s="2" t="s">
        <v>44</v>
      </c>
      <c r="D76" s="2" t="s">
        <v>222</v>
      </c>
      <c r="E76" s="2" t="s">
        <v>138</v>
      </c>
    </row>
    <row r="77" spans="1:5" ht="16" customHeight="1" x14ac:dyDescent="0.2">
      <c r="A77" s="2" t="s">
        <v>223</v>
      </c>
      <c r="B77" s="3">
        <v>3.5</v>
      </c>
      <c r="C77" s="2" t="s">
        <v>224</v>
      </c>
      <c r="D77" s="2" t="s">
        <v>225</v>
      </c>
      <c r="E77" s="2" t="s">
        <v>226</v>
      </c>
    </row>
    <row r="78" spans="1:5" ht="16" customHeight="1" x14ac:dyDescent="0.2">
      <c r="A78" s="2" t="s">
        <v>227</v>
      </c>
      <c r="B78" s="18">
        <v>9</v>
      </c>
      <c r="C78" s="2" t="s">
        <v>224</v>
      </c>
      <c r="D78" s="2" t="s">
        <v>228</v>
      </c>
      <c r="E78" s="2" t="s">
        <v>229</v>
      </c>
    </row>
    <row r="79" spans="1:5" ht="16" customHeight="1" x14ac:dyDescent="0.2">
      <c r="A79" s="2" t="s">
        <v>230</v>
      </c>
      <c r="B79" s="3">
        <v>15</v>
      </c>
      <c r="C79" s="2" t="s">
        <v>44</v>
      </c>
      <c r="D79" s="2" t="s">
        <v>231</v>
      </c>
      <c r="E79" s="2" t="s">
        <v>138</v>
      </c>
    </row>
    <row r="81" spans="1:5" x14ac:dyDescent="0.2">
      <c r="A81" s="45" t="s">
        <v>232</v>
      </c>
      <c r="B81" s="46"/>
      <c r="C81" s="46"/>
      <c r="D81" s="46"/>
      <c r="E81" s="47"/>
    </row>
    <row r="82" spans="1:5" ht="16" customHeight="1" x14ac:dyDescent="0.2">
      <c r="A82" s="4" t="s">
        <v>233</v>
      </c>
      <c r="B82" s="10">
        <v>379000</v>
      </c>
      <c r="C82" s="4" t="s">
        <v>55</v>
      </c>
      <c r="D82" s="4" t="s">
        <v>234</v>
      </c>
      <c r="E82" s="4" t="s">
        <v>235</v>
      </c>
    </row>
    <row r="83" spans="1:5" ht="16" customHeight="1" x14ac:dyDescent="0.2">
      <c r="A83" s="2" t="s">
        <v>236</v>
      </c>
      <c r="B83" s="17">
        <v>0.55000000000000004</v>
      </c>
      <c r="C83" s="2" t="s">
        <v>79</v>
      </c>
      <c r="D83" s="2" t="s">
        <v>237</v>
      </c>
      <c r="E83" s="2" t="s">
        <v>238</v>
      </c>
    </row>
    <row r="84" spans="1:5" ht="16" customHeight="1" x14ac:dyDescent="0.2">
      <c r="A84" s="2" t="s">
        <v>239</v>
      </c>
      <c r="B84" s="17">
        <v>0.3</v>
      </c>
      <c r="C84" s="2" t="s">
        <v>79</v>
      </c>
      <c r="D84" s="2" t="s">
        <v>237</v>
      </c>
      <c r="E84" s="2" t="s">
        <v>238</v>
      </c>
    </row>
    <row r="85" spans="1:5" ht="16" customHeight="1" x14ac:dyDescent="0.2">
      <c r="A85" s="2" t="s">
        <v>240</v>
      </c>
      <c r="B85" s="17">
        <v>0.15</v>
      </c>
      <c r="C85" s="2" t="s">
        <v>79</v>
      </c>
      <c r="D85" s="2" t="s">
        <v>237</v>
      </c>
      <c r="E85" s="2" t="s">
        <v>238</v>
      </c>
    </row>
    <row r="86" spans="1:5" ht="16" customHeight="1" x14ac:dyDescent="0.2">
      <c r="A86" s="2" t="s">
        <v>241</v>
      </c>
      <c r="B86" s="3">
        <v>2000</v>
      </c>
      <c r="C86" s="2" t="s">
        <v>94</v>
      </c>
      <c r="D86" s="2" t="s">
        <v>242</v>
      </c>
      <c r="E86" s="2" t="s">
        <v>243</v>
      </c>
    </row>
    <row r="87" spans="1:5" ht="16" customHeight="1" x14ac:dyDescent="0.2">
      <c r="A87" s="2" t="s">
        <v>244</v>
      </c>
      <c r="B87" s="3">
        <v>1200</v>
      </c>
      <c r="C87" s="2" t="s">
        <v>94</v>
      </c>
      <c r="D87" s="2" t="s">
        <v>242</v>
      </c>
      <c r="E87" s="2" t="s">
        <v>245</v>
      </c>
    </row>
    <row r="88" spans="1:5" ht="16" customHeight="1" x14ac:dyDescent="0.2">
      <c r="A88" s="2" t="s">
        <v>246</v>
      </c>
      <c r="B88" s="3">
        <v>600</v>
      </c>
      <c r="C88" s="2" t="s">
        <v>94</v>
      </c>
      <c r="D88" s="2" t="s">
        <v>242</v>
      </c>
      <c r="E88" s="2" t="s">
        <v>245</v>
      </c>
    </row>
    <row r="89" spans="1:5" ht="16" customHeight="1" x14ac:dyDescent="0.2">
      <c r="A89" s="2" t="s">
        <v>247</v>
      </c>
      <c r="B89" s="3">
        <v>5</v>
      </c>
      <c r="C89" s="2" t="s">
        <v>44</v>
      </c>
      <c r="D89" s="2" t="s">
        <v>248</v>
      </c>
      <c r="E89" s="2" t="s">
        <v>138</v>
      </c>
    </row>
    <row r="91" spans="1:5" x14ac:dyDescent="0.2">
      <c r="A91" s="45" t="s">
        <v>249</v>
      </c>
      <c r="B91" s="46"/>
      <c r="C91" s="46"/>
      <c r="D91" s="46"/>
      <c r="E91" s="47"/>
    </row>
    <row r="92" spans="1:5" ht="16" customHeight="1" x14ac:dyDescent="0.2">
      <c r="A92" s="4" t="s">
        <v>250</v>
      </c>
      <c r="B92" s="15">
        <v>1350</v>
      </c>
      <c r="C92" s="4" t="s">
        <v>105</v>
      </c>
      <c r="D92" s="4" t="s">
        <v>251</v>
      </c>
      <c r="E92" s="4" t="s">
        <v>252</v>
      </c>
    </row>
    <row r="93" spans="1:5" ht="16" customHeight="1" x14ac:dyDescent="0.2">
      <c r="A93" s="4" t="s">
        <v>253</v>
      </c>
      <c r="B93" s="11">
        <v>0.4</v>
      </c>
      <c r="C93" s="4" t="s">
        <v>79</v>
      </c>
      <c r="D93" s="4" t="s">
        <v>254</v>
      </c>
      <c r="E93" s="4" t="s">
        <v>255</v>
      </c>
    </row>
    <row r="94" spans="1:5" ht="16" customHeight="1" x14ac:dyDescent="0.2">
      <c r="A94" s="4" t="s">
        <v>256</v>
      </c>
      <c r="B94" s="11">
        <v>0.95</v>
      </c>
      <c r="C94" s="4" t="s">
        <v>79</v>
      </c>
      <c r="D94" s="4" t="s">
        <v>257</v>
      </c>
      <c r="E94" s="4" t="s">
        <v>258</v>
      </c>
    </row>
    <row r="95" spans="1:5" ht="16" customHeight="1" x14ac:dyDescent="0.2">
      <c r="A95" s="4" t="s">
        <v>259</v>
      </c>
      <c r="B95" s="15">
        <v>30</v>
      </c>
      <c r="C95" s="4" t="s">
        <v>44</v>
      </c>
      <c r="D95" s="4" t="s">
        <v>260</v>
      </c>
      <c r="E95" s="4" t="s">
        <v>261</v>
      </c>
    </row>
    <row r="97" spans="1:5" x14ac:dyDescent="0.2">
      <c r="A97" s="45" t="s">
        <v>262</v>
      </c>
      <c r="B97" s="46"/>
      <c r="C97" s="46"/>
      <c r="D97" s="46"/>
      <c r="E97" s="47"/>
    </row>
    <row r="98" spans="1:5" ht="32" customHeight="1" x14ac:dyDescent="0.2">
      <c r="A98" s="4" t="s">
        <v>263</v>
      </c>
      <c r="B98" s="6">
        <v>6</v>
      </c>
      <c r="C98" s="4" t="s">
        <v>224</v>
      </c>
      <c r="D98" s="4" t="s">
        <v>264</v>
      </c>
      <c r="E98" s="4" t="s">
        <v>265</v>
      </c>
    </row>
    <row r="99" spans="1:5" ht="16" customHeight="1" x14ac:dyDescent="0.2">
      <c r="A99" s="4" t="s">
        <v>266</v>
      </c>
      <c r="B99" s="15">
        <v>1</v>
      </c>
      <c r="C99" s="4" t="s">
        <v>40</v>
      </c>
      <c r="D99" s="4" t="s">
        <v>267</v>
      </c>
      <c r="E99" s="4" t="s">
        <v>268</v>
      </c>
    </row>
    <row r="100" spans="1:5" ht="16" customHeight="1" x14ac:dyDescent="0.2">
      <c r="A100" s="4" t="s">
        <v>269</v>
      </c>
      <c r="B100" s="6">
        <v>5</v>
      </c>
      <c r="C100" s="4" t="s">
        <v>224</v>
      </c>
      <c r="D100" s="4" t="s">
        <v>270</v>
      </c>
      <c r="E100" s="4" t="s">
        <v>271</v>
      </c>
    </row>
    <row r="101" spans="1:5" ht="16" customHeight="1" x14ac:dyDescent="0.2">
      <c r="A101" s="4" t="s">
        <v>272</v>
      </c>
      <c r="B101" s="15">
        <v>2</v>
      </c>
      <c r="C101" s="4" t="s">
        <v>40</v>
      </c>
      <c r="D101" s="4" t="s">
        <v>273</v>
      </c>
      <c r="E101" s="4" t="s">
        <v>268</v>
      </c>
    </row>
    <row r="102" spans="1:5" ht="16" customHeight="1" x14ac:dyDescent="0.2">
      <c r="A102" s="4" t="s">
        <v>274</v>
      </c>
      <c r="B102" s="5">
        <v>2.75</v>
      </c>
      <c r="C102" s="4" t="s">
        <v>224</v>
      </c>
      <c r="D102" s="4" t="s">
        <v>275</v>
      </c>
      <c r="E102" s="4" t="s">
        <v>276</v>
      </c>
    </row>
    <row r="103" spans="1:5" ht="16" customHeight="1" x14ac:dyDescent="0.2">
      <c r="A103" s="4" t="s">
        <v>277</v>
      </c>
      <c r="B103" s="15">
        <v>2</v>
      </c>
      <c r="C103" s="4" t="s">
        <v>40</v>
      </c>
      <c r="D103" s="4" t="s">
        <v>278</v>
      </c>
      <c r="E103" s="4" t="s">
        <v>268</v>
      </c>
    </row>
    <row r="104" spans="1:5" ht="32" customHeight="1" x14ac:dyDescent="0.2">
      <c r="A104" s="4" t="s">
        <v>279</v>
      </c>
      <c r="B104" s="5">
        <v>1</v>
      </c>
      <c r="C104" s="4" t="s">
        <v>224</v>
      </c>
      <c r="D104" s="4" t="s">
        <v>280</v>
      </c>
      <c r="E104" s="4" t="s">
        <v>281</v>
      </c>
    </row>
    <row r="105" spans="1:5" ht="16" customHeight="1" x14ac:dyDescent="0.2">
      <c r="A105" s="4" t="s">
        <v>282</v>
      </c>
      <c r="B105" s="15">
        <v>1</v>
      </c>
      <c r="C105" s="4" t="s">
        <v>40</v>
      </c>
      <c r="D105" s="4" t="s">
        <v>267</v>
      </c>
      <c r="E105" s="4" t="s">
        <v>268</v>
      </c>
    </row>
    <row r="107" spans="1:5" x14ac:dyDescent="0.2">
      <c r="A107" s="45" t="s">
        <v>283</v>
      </c>
      <c r="B107" s="46"/>
      <c r="C107" s="46"/>
      <c r="D107" s="46"/>
      <c r="E107" s="47"/>
    </row>
    <row r="108" spans="1:5" ht="16" customHeight="1" x14ac:dyDescent="0.2">
      <c r="A108" s="2" t="s">
        <v>284</v>
      </c>
      <c r="B108" s="3">
        <v>32.5</v>
      </c>
      <c r="C108" s="2" t="s">
        <v>224</v>
      </c>
      <c r="D108" s="2" t="s">
        <v>285</v>
      </c>
      <c r="E108" s="2" t="s">
        <v>286</v>
      </c>
    </row>
    <row r="109" spans="1:5" ht="16" customHeight="1" x14ac:dyDescent="0.2">
      <c r="A109" s="2" t="s">
        <v>287</v>
      </c>
      <c r="B109" s="17">
        <v>0</v>
      </c>
      <c r="C109" s="2" t="s">
        <v>68</v>
      </c>
      <c r="D109" s="2" t="s">
        <v>288</v>
      </c>
      <c r="E109" s="2" t="s">
        <v>113</v>
      </c>
    </row>
    <row r="111" spans="1:5" x14ac:dyDescent="0.2">
      <c r="A111" s="45" t="s">
        <v>289</v>
      </c>
      <c r="B111" s="46"/>
      <c r="C111" s="46"/>
      <c r="D111" s="46"/>
      <c r="E111" s="47"/>
    </row>
    <row r="112" spans="1:5" ht="16" customHeight="1" x14ac:dyDescent="0.2">
      <c r="A112" s="4" t="s">
        <v>290</v>
      </c>
      <c r="B112" s="6">
        <v>2.4</v>
      </c>
      <c r="C112" s="4" t="s">
        <v>224</v>
      </c>
      <c r="D112" s="4" t="s">
        <v>291</v>
      </c>
      <c r="E112" s="4" t="s">
        <v>292</v>
      </c>
    </row>
    <row r="113" spans="1:5" ht="16" customHeight="1" x14ac:dyDescent="0.2">
      <c r="A113" s="4" t="s">
        <v>293</v>
      </c>
      <c r="B113" s="6">
        <v>7.6</v>
      </c>
      <c r="C113" s="4" t="s">
        <v>224</v>
      </c>
      <c r="D113" s="4" t="s">
        <v>294</v>
      </c>
      <c r="E113" s="4" t="s">
        <v>292</v>
      </c>
    </row>
    <row r="114" spans="1:5" ht="32" customHeight="1" x14ac:dyDescent="0.2">
      <c r="A114" s="4" t="s">
        <v>295</v>
      </c>
      <c r="B114" s="6">
        <v>10</v>
      </c>
      <c r="C114" s="4" t="s">
        <v>224</v>
      </c>
      <c r="D114" s="4" t="s">
        <v>296</v>
      </c>
      <c r="E114" s="4" t="s">
        <v>297</v>
      </c>
    </row>
    <row r="116" spans="1:5" x14ac:dyDescent="0.2">
      <c r="A116" s="28" t="s">
        <v>298</v>
      </c>
    </row>
    <row r="117" spans="1:5" x14ac:dyDescent="0.2">
      <c r="A117" t="s">
        <v>299</v>
      </c>
      <c r="B117" s="29">
        <v>9.7339999999999996E-2</v>
      </c>
      <c r="C117" t="s">
        <v>300</v>
      </c>
      <c r="D117" t="s">
        <v>301</v>
      </c>
      <c r="E117" t="s">
        <v>302</v>
      </c>
    </row>
    <row r="118" spans="1:5" x14ac:dyDescent="0.2">
      <c r="A118" t="s">
        <v>303</v>
      </c>
      <c r="B118" s="29">
        <v>1.823E-2</v>
      </c>
      <c r="C118" t="s">
        <v>300</v>
      </c>
      <c r="D118" t="s">
        <v>304</v>
      </c>
      <c r="E118" t="s">
        <v>302</v>
      </c>
    </row>
  </sheetData>
  <mergeCells count="13">
    <mergeCell ref="A1:E1"/>
    <mergeCell ref="A37:E37"/>
    <mergeCell ref="A5:E5"/>
    <mergeCell ref="A111:E111"/>
    <mergeCell ref="A97:E97"/>
    <mergeCell ref="A74:E74"/>
    <mergeCell ref="A67:E67"/>
    <mergeCell ref="A91:E91"/>
    <mergeCell ref="A81:E81"/>
    <mergeCell ref="A24:E24"/>
    <mergeCell ref="A2:E2"/>
    <mergeCell ref="A107:E107"/>
    <mergeCell ref="A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4"/>
  <sheetViews>
    <sheetView workbookViewId="0">
      <pane xSplit="2" ySplit="4" topLeftCell="N5" activePane="bottomRight" state="frozen"/>
      <selection pane="topRight"/>
      <selection pane="bottomLeft"/>
      <selection pane="bottomRight" activeCell="T8" sqref="T8"/>
    </sheetView>
  </sheetViews>
  <sheetFormatPr baseColWidth="10" defaultColWidth="8.83203125" defaultRowHeight="15" x14ac:dyDescent="0.2"/>
  <cols>
    <col min="1" max="1" width="7" customWidth="1"/>
    <col min="2" max="2" width="5" customWidth="1"/>
    <col min="3" max="3" width="17.83203125" bestFit="1" customWidth="1"/>
    <col min="4" max="4" width="14.5" bestFit="1" customWidth="1"/>
    <col min="5" max="5" width="11.33203125" customWidth="1"/>
    <col min="6" max="6" width="13.1640625" bestFit="1" customWidth="1"/>
    <col min="7" max="7" width="14.1640625" bestFit="1" customWidth="1"/>
    <col min="8" max="8" width="18.33203125" bestFit="1" customWidth="1"/>
    <col min="9" max="9" width="19" bestFit="1" customWidth="1"/>
    <col min="10" max="10" width="13.5" bestFit="1" customWidth="1"/>
    <col min="11" max="11" width="11" customWidth="1"/>
    <col min="12" max="12" width="9" customWidth="1"/>
    <col min="13" max="13" width="12.83203125" bestFit="1" customWidth="1"/>
    <col min="14" max="16" width="11.5" bestFit="1" customWidth="1"/>
    <col min="17" max="17" width="14.83203125" bestFit="1" customWidth="1"/>
    <col min="18" max="19" width="16.6640625" bestFit="1" customWidth="1"/>
    <col min="20" max="20" width="11.33203125" bestFit="1" customWidth="1"/>
    <col min="21" max="21" width="14.33203125" bestFit="1" customWidth="1"/>
    <col min="22" max="23" width="11.6640625" bestFit="1" customWidth="1"/>
    <col min="24" max="25" width="11" customWidth="1"/>
    <col min="26" max="26" width="16" bestFit="1" customWidth="1"/>
    <col min="27" max="27" width="14.83203125" bestFit="1" customWidth="1"/>
    <col min="28" max="28" width="11" customWidth="1"/>
  </cols>
  <sheetData>
    <row r="1" spans="1:28" ht="17" customHeight="1" x14ac:dyDescent="0.2">
      <c r="A1" s="44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8" x14ac:dyDescent="0.2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8" x14ac:dyDescent="0.2">
      <c r="U3" s="41" t="s">
        <v>2</v>
      </c>
    </row>
    <row r="4" spans="1:28" ht="40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27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 spans="1:28" x14ac:dyDescent="0.2">
      <c r="A5" s="30">
        <f>Parametri!$B$6+B5</f>
        <v>2026</v>
      </c>
      <c r="B5" s="31">
        <v>0</v>
      </c>
      <c r="C5" s="32">
        <f>Parametri!$B$9</f>
        <v>21.3</v>
      </c>
      <c r="D5" s="32">
        <f>Parametri!$B$13</f>
        <v>17.5</v>
      </c>
      <c r="E5" s="33">
        <f t="shared" ref="E5:E34" si="0">D5/C5</f>
        <v>0.82159624413145538</v>
      </c>
      <c r="F5" s="34">
        <f>Parametri!$B$19</f>
        <v>2184</v>
      </c>
      <c r="G5" s="35">
        <f>Parametri!$B$21</f>
        <v>26000</v>
      </c>
      <c r="H5" s="34">
        <f t="shared" ref="H5:H34" si="1">F5*I5</f>
        <v>336.33600000000001</v>
      </c>
      <c r="I5" s="36">
        <f>IF(B5&lt;=(Parametri!$B$35-Parametri!$B$6),Parametri!$B$32+(Parametri!$B$33-Parametri!$B$32)*B5/(Parametri!$B$35-Parametri!$B$6),Parametri!$B$33+(Parametri!$B$34-Parametri!$B$33)*(B5-(Parametri!$B$35-Parametri!$B$6))/(2070-Parametri!$B$35))</f>
        <v>0.154</v>
      </c>
      <c r="J5" s="34">
        <f t="shared" ref="J5:J34" si="2">H5-U5</f>
        <v>335.31100980000002</v>
      </c>
      <c r="K5" s="36">
        <f t="shared" ref="K5:K34" si="3">J5/F5</f>
        <v>0.15353068214285714</v>
      </c>
      <c r="L5" s="36">
        <f>IF(B5&lt;=5,Parametri!$B$55+(Parametri!$B$56-Parametri!$B$55)/5*B5,MIN(Parametri!$B$57,Parametri!$B$56+(Parametri!$B$57-Parametri!$B$56)/24*(B5-5)))</f>
        <v>0.33</v>
      </c>
      <c r="M5" s="32">
        <f t="shared" ref="M5:M34" si="4">L5*D5</f>
        <v>5.7750000000000004</v>
      </c>
      <c r="N5" s="34">
        <f>IF(B5&lt;Parametri!$B$72,Parametri!$B$71*Parametri!$B$70*Parametri!$B$69/Parametri!$B$72,0)</f>
        <v>2.44</v>
      </c>
      <c r="O5" s="34">
        <f>IF(B5&lt;10,Parametri!$B$50,IF(B5&lt;20,Parametri!$B$53,Parametri!$B$54))*M5*G5*Parametri!$B$68/1000</f>
        <v>1.6216200000000001</v>
      </c>
      <c r="P5" s="34">
        <f>MIN(Parametri!$B$77+Parametri!$B$78,
Parametri!$B$77+Parametri!$B$78*(B5+1)/Parametri!$B$79)</f>
        <v>4.0999999999999996</v>
      </c>
      <c r="Q5" s="34">
        <f>-IF(B5&lt;10,Parametri!$B$48,IF(B5&lt;20,Parametri!$B$51,Parametri!$B$54))*M5*G5/1000</f>
        <v>-9.0090000000000003</v>
      </c>
      <c r="R5" s="34">
        <f>IF(B5&lt;10,Parametri!$B$49,IF(B5&lt;20,Parametri!$B$52,0))*M5*G5/1000</f>
        <v>3.0030000000000001</v>
      </c>
      <c r="S5" s="37">
        <v>0</v>
      </c>
      <c r="T5" s="34">
        <f>-(Parametri!$B$82*(Parametri!$B$83*Parametri!$B$86+Parametri!$B$84*Parametri!$B$87+Parametri!$B$85*Parametri!$B$88)/1000000000)*MIN(B5+1,Parametri!$B$89)</f>
        <v>-0.58745000000000003</v>
      </c>
      <c r="U5" s="38">
        <f>Parametri!$B$45*Parametri!$B$92*13/1000000000*((B5+1)*Parametri!$B$117+B5*(B5+1)/2*Parametri!$B$118)</f>
        <v>1.0249902</v>
      </c>
      <c r="V5" s="34">
        <f>IF(B5&gt;=Parametri!$B$99-1,Parametri!$B$98,0)</f>
        <v>6</v>
      </c>
      <c r="W5" s="34">
        <f>IF(B5&gt;=Parametri!$B$101-1,Parametri!$B$100,0)</f>
        <v>0</v>
      </c>
      <c r="X5" s="34">
        <f>IF(B5&gt;=Parametri!$B$103-1,Parametri!$B$102,0)</f>
        <v>0</v>
      </c>
      <c r="Y5" s="34">
        <f>IF(B5&gt;=Parametri!$B$105-1,Parametri!$B$104,0)</f>
        <v>1</v>
      </c>
      <c r="Z5" s="39">
        <f>N5+O5+P5+Q5+T5+U5+V5+W5+X5+Y5</f>
        <v>6.5901601999999988</v>
      </c>
      <c r="AA5" s="39">
        <f>Z5</f>
        <v>6.5901601999999988</v>
      </c>
      <c r="AB5" s="40">
        <f t="shared" ref="AB5:AB34" si="5">-AA5/F5</f>
        <v>-3.0174726190476185E-3</v>
      </c>
    </row>
    <row r="6" spans="1:28" x14ac:dyDescent="0.2">
      <c r="A6" s="30">
        <f>Parametri!$B$6+B6</f>
        <v>2027</v>
      </c>
      <c r="B6" s="31">
        <v>1</v>
      </c>
      <c r="C6" s="32">
        <f>C5*(1+Parametri!$B$14)</f>
        <v>21.513000000000002</v>
      </c>
      <c r="D6" s="32">
        <f>D5*(1+Parametri!$B$15)+Parametri!$B$18*(1-Parametri!$B$15)^B5</f>
        <v>17.528500000000001</v>
      </c>
      <c r="E6" s="33">
        <f t="shared" si="0"/>
        <v>0.81478640821828663</v>
      </c>
      <c r="F6" s="34">
        <f>F5*(1+Parametri!$B$20)</f>
        <v>2201.4720000000002</v>
      </c>
      <c r="G6" s="35">
        <f>G5*(1+Parametri!$B$22)</f>
        <v>26052</v>
      </c>
      <c r="H6" s="34">
        <f t="shared" si="1"/>
        <v>341.69990400000006</v>
      </c>
      <c r="I6" s="36">
        <f>IF(B6&lt;=(Parametri!$B$35-Parametri!$B$6),Parametri!$B$32+(Parametri!$B$33-Parametri!$B$32)*B6/(Parametri!$B$35-Parametri!$B$6),Parametri!$B$33+(Parametri!$B$34-Parametri!$B$33)*(B6-(Parametri!$B$35-Parametri!$B$6))/(2070-Parametri!$B$35))</f>
        <v>0.15521428571428572</v>
      </c>
      <c r="J6" s="34">
        <f t="shared" si="2"/>
        <v>339.45796170000006</v>
      </c>
      <c r="K6" s="36">
        <f t="shared" si="3"/>
        <v>0.15419590242346939</v>
      </c>
      <c r="L6" s="36">
        <f>IF(B6&lt;=5,Parametri!$B$55+(Parametri!$B$56-Parametri!$B$55)/5*B6,MIN(Parametri!$B$57,Parametri!$B$56+(Parametri!$B$57-Parametri!$B$56)/24*(B6-5)))</f>
        <v>0.38400000000000001</v>
      </c>
      <c r="M6" s="32">
        <f t="shared" si="4"/>
        <v>6.7309440000000009</v>
      </c>
      <c r="N6" s="34">
        <f>IF(B6&lt;Parametri!$B$72,Parametri!$B$71*Parametri!$B$70*Parametri!$B$69/Parametri!$B$72,0)</f>
        <v>2.44</v>
      </c>
      <c r="O6" s="34">
        <f>IF(B6&lt;10,Parametri!$B$50,IF(B6&lt;20,Parametri!$B$53,Parametri!$B$54))*M6*G6*Parametri!$B$68/1000</f>
        <v>1.8938291733504005</v>
      </c>
      <c r="P6" s="34">
        <f>MIN(Parametri!$B$77+Parametri!$B$78,
Parametri!$B$77+Parametri!$B$78*(B6+1)/Parametri!$B$79)</f>
        <v>4.7</v>
      </c>
      <c r="Q6" s="34">
        <f>-IF(B6&lt;10,Parametri!$B$48,IF(B6&lt;20,Parametri!$B$51,Parametri!$B$54))*M6*G6/1000</f>
        <v>-10.52127318528</v>
      </c>
      <c r="R6" s="34">
        <f>IF(B6&lt;10,Parametri!$B$49,IF(B6&lt;20,Parametri!$B$52,0))*M6*G6/1000</f>
        <v>3.5070910617600006</v>
      </c>
      <c r="S6" s="37">
        <v>0</v>
      </c>
      <c r="T6" s="34">
        <f>-(Parametri!$B$82*(Parametri!$B$83*Parametri!$B$86+Parametri!$B$84*Parametri!$B$87+Parametri!$B$85*Parametri!$B$88)/1000000000)*MIN(B6+1,Parametri!$B$89)</f>
        <v>-1.1749000000000001</v>
      </c>
      <c r="U6" s="38">
        <f>Parametri!$B$45*Parametri!$B$92*13/1000000000*((B6+1)*Parametri!$B$117+B6*(B6+1)/2*Parametri!$B$118)</f>
        <v>2.2419422999999998</v>
      </c>
      <c r="V6" s="34">
        <f>IF(B6&gt;=Parametri!$B$99-1,Parametri!$B$98,0)</f>
        <v>6</v>
      </c>
      <c r="W6" s="34">
        <f>IF(B6&gt;=Parametri!$B$101-1,Parametri!$B$100,0)</f>
        <v>5</v>
      </c>
      <c r="X6" s="34">
        <f>IF(B6&gt;=Parametri!$B$103-1,Parametri!$B$102,0)</f>
        <v>2.75</v>
      </c>
      <c r="Y6" s="34">
        <f>IF(B6&gt;=Parametri!$B$105-1,Parametri!$B$104,0)</f>
        <v>1</v>
      </c>
      <c r="Z6" s="39">
        <f t="shared" ref="Z5:Z34" si="6">N6+O6+P6+Q6+T6+U6+V6+W6+X6+Y6</f>
        <v>14.3295982880704</v>
      </c>
      <c r="AA6" s="39">
        <f t="shared" ref="AA6:AA34" si="7">AA5+Z6</f>
        <v>20.9197584880704</v>
      </c>
      <c r="AB6" s="40">
        <f t="shared" si="5"/>
        <v>-9.5026230122710609E-3</v>
      </c>
    </row>
    <row r="7" spans="1:28" x14ac:dyDescent="0.2">
      <c r="A7" s="30">
        <f>Parametri!$B$6+B7</f>
        <v>2028</v>
      </c>
      <c r="B7" s="31">
        <v>2</v>
      </c>
      <c r="C7" s="32">
        <f>C6*(1+Parametri!$B$14)</f>
        <v>21.72813</v>
      </c>
      <c r="D7" s="32">
        <f>D6*(1+Parametri!$B$15)+Parametri!$B$18*(1-Parametri!$B$15)^B6</f>
        <v>17.557437499999999</v>
      </c>
      <c r="E7" s="33">
        <f t="shared" si="0"/>
        <v>0.80805101497459741</v>
      </c>
      <c r="F7" s="34">
        <f>F6*(1+Parametri!$B$20)</f>
        <v>2219.0837760000004</v>
      </c>
      <c r="G7" s="35">
        <f>G6*(1+Parametri!$B$22)</f>
        <v>26104.103999999999</v>
      </c>
      <c r="H7" s="34">
        <f t="shared" si="1"/>
        <v>347.12810496000003</v>
      </c>
      <c r="I7" s="36">
        <f>IF(B7&lt;=(Parametri!$B$35-Parametri!$B$6),Parametri!$B$32+(Parametri!$B$33-Parametri!$B$32)*B7/(Parametri!$B$35-Parametri!$B$6),Parametri!$B$33+(Parametri!$B$34-Parametri!$B$33)*(B7-(Parametri!$B$35-Parametri!$B$6))/(2070-Parametri!$B$35))</f>
        <v>0.15642857142857142</v>
      </c>
      <c r="J7" s="34">
        <f t="shared" si="2"/>
        <v>343.47724866000004</v>
      </c>
      <c r="K7" s="36">
        <f t="shared" si="3"/>
        <v>0.15478336256377551</v>
      </c>
      <c r="L7" s="36">
        <f>IF(B7&lt;=5,Parametri!$B$55+(Parametri!$B$56-Parametri!$B$55)/5*B7,MIN(Parametri!$B$57,Parametri!$B$56+(Parametri!$B$57-Parametri!$B$56)/24*(B7-5)))</f>
        <v>0.438</v>
      </c>
      <c r="M7" s="32">
        <f t="shared" si="4"/>
        <v>7.6901576249999994</v>
      </c>
      <c r="N7" s="34">
        <f>IF(B7&lt;Parametri!$B$72,Parametri!$B$71*Parametri!$B$70*Parametri!$B$69/Parametri!$B$72,0)</f>
        <v>2.44</v>
      </c>
      <c r="O7" s="34">
        <f>IF(B7&lt;10,Parametri!$B$50,IF(B7&lt;20,Parametri!$B$53,Parametri!$B$54))*M7*G7*Parametri!$B$68/1000</f>
        <v>2.1680424837294443</v>
      </c>
      <c r="P7" s="34">
        <f>MIN(Parametri!$B$77+Parametri!$B$78,
Parametri!$B$77+Parametri!$B$78*(B7+1)/Parametri!$B$79)</f>
        <v>5.3</v>
      </c>
      <c r="Q7" s="34">
        <f>-IF(B7&lt;10,Parametri!$B$48,IF(B7&lt;20,Parametri!$B$51,Parametri!$B$54))*M7*G7/1000</f>
        <v>-12.04468046516358</v>
      </c>
      <c r="R7" s="34">
        <f>IF(B7&lt;10,Parametri!$B$49,IF(B7&lt;20,Parametri!$B$52,0))*M7*G7/1000</f>
        <v>4.0148934883878598</v>
      </c>
      <c r="S7" s="37">
        <v>0</v>
      </c>
      <c r="T7" s="34">
        <f>-(Parametri!$B$82*(Parametri!$B$83*Parametri!$B$86+Parametri!$B$84*Parametri!$B$87+Parametri!$B$85*Parametri!$B$88)/1000000000)*MIN(B7+1,Parametri!$B$89)</f>
        <v>-1.7623500000000001</v>
      </c>
      <c r="U7" s="38">
        <f>Parametri!$B$45*Parametri!$B$92*13/1000000000*((B7+1)*Parametri!$B$117+B7*(B7+1)/2*Parametri!$B$118)</f>
        <v>3.6508563000000001</v>
      </c>
      <c r="V7" s="34">
        <f>IF(B7&gt;=Parametri!$B$99-1,Parametri!$B$98,0)</f>
        <v>6</v>
      </c>
      <c r="W7" s="34">
        <f>IF(B7&gt;=Parametri!$B$101-1,Parametri!$B$100,0)</f>
        <v>5</v>
      </c>
      <c r="X7" s="34">
        <f>IF(B7&gt;=Parametri!$B$103-1,Parametri!$B$102,0)</f>
        <v>2.75</v>
      </c>
      <c r="Y7" s="34">
        <f>IF(B7&gt;=Parametri!$B$105-1,Parametri!$B$104,0)</f>
        <v>1</v>
      </c>
      <c r="Z7" s="39">
        <f t="shared" si="6"/>
        <v>14.501868318565863</v>
      </c>
      <c r="AA7" s="39">
        <f t="shared" si="7"/>
        <v>35.421626806636262</v>
      </c>
      <c r="AB7" s="40">
        <f t="shared" si="5"/>
        <v>-1.5962275597582603E-2</v>
      </c>
    </row>
    <row r="8" spans="1:28" x14ac:dyDescent="0.2">
      <c r="A8" s="30">
        <f>Parametri!$B$6+B8</f>
        <v>2029</v>
      </c>
      <c r="B8" s="31">
        <v>3</v>
      </c>
      <c r="C8" s="32">
        <f>C7*(1+Parametri!$B$14)</f>
        <v>21.9454113</v>
      </c>
      <c r="D8" s="32">
        <f>D7*(1+Parametri!$B$15)+Parametri!$B$18*(1-Parametri!$B$15)^B7</f>
        <v>17.586813212499997</v>
      </c>
      <c r="E8" s="33">
        <f t="shared" si="0"/>
        <v>0.80138909096226407</v>
      </c>
      <c r="F8" s="34">
        <f>F7*(1+Parametri!$B$20)</f>
        <v>2236.8364462080003</v>
      </c>
      <c r="G8" s="35">
        <f>G7*(1+Parametri!$B$22)</f>
        <v>26156.312207999999</v>
      </c>
      <c r="H8" s="34">
        <f t="shared" si="1"/>
        <v>352.62128834150406</v>
      </c>
      <c r="I8" s="36">
        <f>IF(B8&lt;=(Parametri!$B$35-Parametri!$B$6),Parametri!$B$32+(Parametri!$B$33-Parametri!$B$32)*B8/(Parametri!$B$35-Parametri!$B$6),Parametri!$B$33+(Parametri!$B$34-Parametri!$B$33)*(B8-(Parametri!$B$35-Parametri!$B$6))/(2070-Parametri!$B$35))</f>
        <v>0.15764285714285714</v>
      </c>
      <c r="J8" s="34">
        <f t="shared" si="2"/>
        <v>347.36955614150406</v>
      </c>
      <c r="K8" s="36">
        <f t="shared" si="3"/>
        <v>0.15529501798416362</v>
      </c>
      <c r="L8" s="36">
        <f>IF(B8&lt;=5,Parametri!$B$55+(Parametri!$B$56-Parametri!$B$55)/5*B8,MIN(Parametri!$B$57,Parametri!$B$56+(Parametri!$B$57-Parametri!$B$56)/24*(B8-5)))</f>
        <v>0.49199999999999999</v>
      </c>
      <c r="M8" s="32">
        <f t="shared" si="4"/>
        <v>8.6527121005499978</v>
      </c>
      <c r="N8" s="34">
        <f>IF(B8&lt;Parametri!$B$72,Parametri!$B$71*Parametri!$B$70*Parametri!$B$69/Parametri!$B$72,0)</f>
        <v>0</v>
      </c>
      <c r="O8" s="34">
        <f>IF(B8&lt;10,Parametri!$B$50,IF(B8&lt;20,Parametri!$B$53,Parametri!$B$54))*M8*G8*Parametri!$B$68/1000</f>
        <v>2.4442888227975925</v>
      </c>
      <c r="P8" s="34">
        <f>MIN(Parametri!$B$77+Parametri!$B$78,
Parametri!$B$77+Parametri!$B$78*(B8+1)/Parametri!$B$79)</f>
        <v>5.9</v>
      </c>
      <c r="Q8" s="34">
        <f>-IF(B8&lt;10,Parametri!$B$48,IF(B8&lt;20,Parametri!$B$51,Parametri!$B$54))*M8*G8/1000</f>
        <v>-13.579382348875514</v>
      </c>
      <c r="R8" s="34">
        <f>IF(B8&lt;10,Parametri!$B$49,IF(B8&lt;20,Parametri!$B$52,0))*M8*G8/1000</f>
        <v>4.5264607829585044</v>
      </c>
      <c r="S8" s="37">
        <v>0</v>
      </c>
      <c r="T8" s="34">
        <f>-(Parametri!$B$82*(Parametri!$B$83*Parametri!$B$86+Parametri!$B$84*Parametri!$B$87+Parametri!$B$85*Parametri!$B$88)/1000000000)*MIN(B8+1,Parametri!$B$89)</f>
        <v>-2.3498000000000001</v>
      </c>
      <c r="U8" s="38">
        <f>Parametri!$B$45*Parametri!$B$92*13/1000000000*((B8+1)*Parametri!$B$117+B8*(B8+1)/2*Parametri!$B$118)</f>
        <v>5.2517321999999993</v>
      </c>
      <c r="V8" s="34">
        <f>IF(B8&gt;=Parametri!$B$99-1,Parametri!$B$98,0)</f>
        <v>6</v>
      </c>
      <c r="W8" s="34">
        <f>IF(B8&gt;=Parametri!$B$101-1,Parametri!$B$100,0)</f>
        <v>5</v>
      </c>
      <c r="X8" s="34">
        <f>IF(B8&gt;=Parametri!$B$103-1,Parametri!$B$102,0)</f>
        <v>2.75</v>
      </c>
      <c r="Y8" s="34">
        <f>IF(B8&gt;=Parametri!$B$105-1,Parametri!$B$104,0)</f>
        <v>1</v>
      </c>
      <c r="Z8" s="39">
        <f t="shared" si="6"/>
        <v>12.416838673922078</v>
      </c>
      <c r="AA8" s="39">
        <f t="shared" si="7"/>
        <v>47.838465480558341</v>
      </c>
      <c r="AB8" s="40">
        <f t="shared" si="5"/>
        <v>-2.1386662203960669E-2</v>
      </c>
    </row>
    <row r="9" spans="1:28" x14ac:dyDescent="0.2">
      <c r="A9" s="30">
        <f>Parametri!$B$6+B9</f>
        <v>2030</v>
      </c>
      <c r="B9" s="31">
        <v>4</v>
      </c>
      <c r="C9" s="32">
        <f>C8*(1+Parametri!$B$14)</f>
        <v>22.164865413000001</v>
      </c>
      <c r="D9" s="32">
        <f>D8*(1+Parametri!$B$15)+Parametri!$B$18*(1-Parametri!$B$15)^B8</f>
        <v>17.616627860937498</v>
      </c>
      <c r="E9" s="33">
        <f t="shared" si="0"/>
        <v>0.79479967654597627</v>
      </c>
      <c r="F9" s="34">
        <f>F8*(1+Parametri!$B$20)</f>
        <v>2254.7311377776641</v>
      </c>
      <c r="G9" s="35">
        <f>G8*(1+Parametri!$B$22)</f>
        <v>26208.624832416001</v>
      </c>
      <c r="H9" s="34">
        <f t="shared" si="1"/>
        <v>358.18014645839463</v>
      </c>
      <c r="I9" s="36">
        <f>IF(B9&lt;=(Parametri!$B$35-Parametri!$B$6),Parametri!$B$32+(Parametri!$B$33-Parametri!$B$32)*B9/(Parametri!$B$35-Parametri!$B$6),Parametri!$B$33+(Parametri!$B$34-Parametri!$B$33)*(B9-(Parametri!$B$35-Parametri!$B$6))/(2070-Parametri!$B$35))</f>
        <v>0.15885714285714286</v>
      </c>
      <c r="J9" s="34">
        <f t="shared" si="2"/>
        <v>351.13557645839461</v>
      </c>
      <c r="K9" s="36">
        <f t="shared" si="3"/>
        <v>0.15573279251577871</v>
      </c>
      <c r="L9" s="36">
        <f>IF(B9&lt;=5,Parametri!$B$55+(Parametri!$B$56-Parametri!$B$55)/5*B9,MIN(Parametri!$B$57,Parametri!$B$56+(Parametri!$B$57-Parametri!$B$56)/24*(B9-5)))</f>
        <v>0.54600000000000004</v>
      </c>
      <c r="M9" s="32">
        <f t="shared" si="4"/>
        <v>9.6186788120718756</v>
      </c>
      <c r="N9" s="34">
        <f>IF(B9&lt;Parametri!$B$72,Parametri!$B$71*Parametri!$B$70*Parametri!$B$69/Parametri!$B$72,0)</f>
        <v>0</v>
      </c>
      <c r="O9" s="34">
        <f>IF(B9&lt;10,Parametri!$B$50,IF(B9&lt;20,Parametri!$B$53,Parametri!$B$54))*M9*G9*Parametri!$B$68/1000</f>
        <v>2.7225973191862867</v>
      </c>
      <c r="P9" s="34">
        <f>MIN(Parametri!$B$77+Parametri!$B$78,
Parametri!$B$77+Parametri!$B$78*(B9+1)/Parametri!$B$79)</f>
        <v>6.5</v>
      </c>
      <c r="Q9" s="34">
        <f>-IF(B9&lt;10,Parametri!$B$48,IF(B9&lt;20,Parametri!$B$51,Parametri!$B$54))*M9*G9/1000</f>
        <v>-15.125540662146035</v>
      </c>
      <c r="R9" s="34">
        <f>IF(B9&lt;10,Parametri!$B$49,IF(B9&lt;20,Parametri!$B$52,0))*M9*G9/1000</f>
        <v>5.0418468873820119</v>
      </c>
      <c r="S9" s="37">
        <v>0</v>
      </c>
      <c r="T9" s="34">
        <f>-(Parametri!$B$82*(Parametri!$B$83*Parametri!$B$86+Parametri!$B$84*Parametri!$B$87+Parametri!$B$85*Parametri!$B$88)/1000000000)*MIN(B9+1,Parametri!$B$89)</f>
        <v>-2.9372500000000001</v>
      </c>
      <c r="U9" s="38">
        <f>Parametri!$B$45*Parametri!$B$92*13/1000000000*((B9+1)*Parametri!$B$117+B9*(B9+1)/2*Parametri!$B$118)</f>
        <v>7.0445699999999984</v>
      </c>
      <c r="V9" s="34">
        <f>IF(B9&gt;=Parametri!$B$99-1,Parametri!$B$98,0)</f>
        <v>6</v>
      </c>
      <c r="W9" s="34">
        <f>IF(B9&gt;=Parametri!$B$101-1,Parametri!$B$100,0)</f>
        <v>5</v>
      </c>
      <c r="X9" s="34">
        <f>IF(B9&gt;=Parametri!$B$103-1,Parametri!$B$102,0)</f>
        <v>2.75</v>
      </c>
      <c r="Y9" s="34">
        <f>IF(B9&gt;=Parametri!$B$105-1,Parametri!$B$104,0)</f>
        <v>1</v>
      </c>
      <c r="Z9" s="39">
        <f t="shared" si="6"/>
        <v>12.95437665704025</v>
      </c>
      <c r="AA9" s="39">
        <f t="shared" si="7"/>
        <v>60.792842137598591</v>
      </c>
      <c r="AB9" s="40">
        <f t="shared" si="5"/>
        <v>-2.6962346471836096E-2</v>
      </c>
    </row>
    <row r="10" spans="1:28" x14ac:dyDescent="0.2">
      <c r="A10" s="30">
        <f>Parametri!$B$6+B10</f>
        <v>2031</v>
      </c>
      <c r="B10" s="31">
        <v>5</v>
      </c>
      <c r="C10" s="32">
        <f>C9*(1+Parametri!$B$14)</f>
        <v>22.386514067130001</v>
      </c>
      <c r="D10" s="32">
        <f>D9*(1+Parametri!$B$15)+Parametri!$B$18*(1-Parametri!$B$15)^B9</f>
        <v>17.646882179705312</v>
      </c>
      <c r="E10" s="33">
        <f t="shared" si="0"/>
        <v>0.78828182569148331</v>
      </c>
      <c r="F10" s="34">
        <f>F9*(1+Parametri!$B$20)</f>
        <v>2272.7689868798852</v>
      </c>
      <c r="G10" s="35">
        <f>G9*(1+Parametri!$B$22)</f>
        <v>26261.042082080832</v>
      </c>
      <c r="H10" s="34">
        <f t="shared" si="1"/>
        <v>363.80537854270165</v>
      </c>
      <c r="I10" s="36">
        <f>IF(B10&lt;=(Parametri!$B$35-Parametri!$B$6),Parametri!$B$32+(Parametri!$B$33-Parametri!$B$32)*B10/(Parametri!$B$35-Parametri!$B$6),Parametri!$B$33+(Parametri!$B$34-Parametri!$B$33)*(B10-(Parametri!$B$35-Parametri!$B$6))/(2070-Parametri!$B$35))</f>
        <v>0.16007142857142859</v>
      </c>
      <c r="J10" s="34">
        <f t="shared" si="2"/>
        <v>354.77600884270163</v>
      </c>
      <c r="K10" s="36">
        <f t="shared" si="3"/>
        <v>0.1560985788220153</v>
      </c>
      <c r="L10" s="36">
        <f>IF(B10&lt;=5,Parametri!$B$55+(Parametri!$B$56-Parametri!$B$55)/5*B10,MIN(Parametri!$B$57,Parametri!$B$56+(Parametri!$B$57-Parametri!$B$56)/24*(B10-5)))</f>
        <v>0.6</v>
      </c>
      <c r="M10" s="32">
        <f t="shared" si="4"/>
        <v>10.588129307823186</v>
      </c>
      <c r="N10" s="34">
        <f>IF(B10&lt;Parametri!$B$72,Parametri!$B$71*Parametri!$B$70*Parametri!$B$69/Parametri!$B$72,0)</f>
        <v>0</v>
      </c>
      <c r="O10" s="34">
        <f>IF(B10&lt;10,Parametri!$B$50,IF(B10&lt;20,Parametri!$B$53,Parametri!$B$54))*M10*G10*Parametri!$B$68/1000</f>
        <v>3.0029973406911878</v>
      </c>
      <c r="P10" s="34">
        <f>MIN(Parametri!$B$77+Parametri!$B$78,
Parametri!$B$77+Parametri!$B$78*(B10+1)/Parametri!$B$79)</f>
        <v>7.1</v>
      </c>
      <c r="Q10" s="34">
        <f>-IF(B10&lt;10,Parametri!$B$48,IF(B10&lt;20,Parametri!$B$51,Parametri!$B$54))*M10*G10/1000</f>
        <v>-16.683318559395484</v>
      </c>
      <c r="R10" s="34">
        <f>IF(B10&lt;10,Parametri!$B$49,IF(B10&lt;20,Parametri!$B$52,0))*M10*G10/1000</f>
        <v>5.5611061864651621</v>
      </c>
      <c r="S10" s="37">
        <v>0</v>
      </c>
      <c r="T10" s="34">
        <f>-(Parametri!$B$82*(Parametri!$B$83*Parametri!$B$86+Parametri!$B$84*Parametri!$B$87+Parametri!$B$85*Parametri!$B$88)/1000000000)*MIN(B10+1,Parametri!$B$89)</f>
        <v>-2.9372500000000001</v>
      </c>
      <c r="U10" s="38">
        <f>Parametri!$B$45*Parametri!$B$92*13/1000000000*((B10+1)*Parametri!$B$117+B10*(B10+1)/2*Parametri!$B$118)</f>
        <v>9.0293696999999984</v>
      </c>
      <c r="V10" s="34">
        <f>IF(B10&gt;=Parametri!$B$99-1,Parametri!$B$98,0)</f>
        <v>6</v>
      </c>
      <c r="W10" s="34">
        <f>IF(B10&gt;=Parametri!$B$101-1,Parametri!$B$100,0)</f>
        <v>5</v>
      </c>
      <c r="X10" s="34">
        <f>IF(B10&gt;=Parametri!$B$103-1,Parametri!$B$102,0)</f>
        <v>2.75</v>
      </c>
      <c r="Y10" s="34">
        <f>IF(B10&gt;=Parametri!$B$105-1,Parametri!$B$104,0)</f>
        <v>1</v>
      </c>
      <c r="Z10" s="39">
        <f t="shared" si="6"/>
        <v>14.261798481295701</v>
      </c>
      <c r="AA10" s="39">
        <f t="shared" si="7"/>
        <v>75.054640618894297</v>
      </c>
      <c r="AB10" s="40">
        <f t="shared" si="5"/>
        <v>-3.3023435752672428E-2</v>
      </c>
    </row>
    <row r="11" spans="1:28" x14ac:dyDescent="0.2">
      <c r="A11" s="30">
        <f>Parametri!$B$6+B11</f>
        <v>2032</v>
      </c>
      <c r="B11" s="31">
        <v>6</v>
      </c>
      <c r="C11" s="32">
        <f>C10*(1+Parametri!$B$14)</f>
        <v>22.610379207801302</v>
      </c>
      <c r="D11" s="32">
        <f>D10*(1+Parametri!$B$15)+Parametri!$B$18*(1-Parametri!$B$15)^B10</f>
        <v>17.677576914169649</v>
      </c>
      <c r="E11" s="33">
        <f t="shared" si="0"/>
        <v>0.78183460576682062</v>
      </c>
      <c r="F11" s="34">
        <f>F10*(1+Parametri!$B$20)</f>
        <v>2290.9511387749244</v>
      </c>
      <c r="G11" s="35">
        <f>G10*(1+Parametri!$B$22)</f>
        <v>26313.564166244993</v>
      </c>
      <c r="H11" s="34">
        <f t="shared" si="1"/>
        <v>369.49769081098424</v>
      </c>
      <c r="I11" s="36">
        <f>IF(B11&lt;=(Parametri!$B$35-Parametri!$B$6),Parametri!$B$32+(Parametri!$B$33-Parametri!$B$32)*B11/(Parametri!$B$35-Parametri!$B$6),Parametri!$B$33+(Parametri!$B$34-Parametri!$B$33)*(B11-(Parametri!$B$35-Parametri!$B$6))/(2070-Parametri!$B$35))</f>
        <v>0.16128571428571428</v>
      </c>
      <c r="J11" s="34">
        <f t="shared" si="2"/>
        <v>358.29155951098426</v>
      </c>
      <c r="K11" s="36">
        <f t="shared" si="3"/>
        <v>0.15639423881496617</v>
      </c>
      <c r="L11" s="36">
        <f>IF(B11&lt;=5,Parametri!$B$55+(Parametri!$B$56-Parametri!$B$55)/5*B11,MIN(Parametri!$B$57,Parametri!$B$56+(Parametri!$B$57-Parametri!$B$56)/24*(B11-5)))</f>
        <v>0.6166666666666667</v>
      </c>
      <c r="M11" s="32">
        <f t="shared" si="4"/>
        <v>10.901172430404618</v>
      </c>
      <c r="N11" s="34">
        <f>IF(B11&lt;Parametri!$B$72,Parametri!$B$71*Parametri!$B$70*Parametri!$B$69/Parametri!$B$72,0)</f>
        <v>0</v>
      </c>
      <c r="O11" s="34">
        <f>IF(B11&lt;10,Parametri!$B$50,IF(B11&lt;20,Parametri!$B$53,Parametri!$B$54))*M11*G11*Parametri!$B$68/1000</f>
        <v>3.09796596253533</v>
      </c>
      <c r="P11" s="34">
        <f>MIN(Parametri!$B$77+Parametri!$B$78,
Parametri!$B$77+Parametri!$B$78*(B11+1)/Parametri!$B$79)</f>
        <v>7.7</v>
      </c>
      <c r="Q11" s="34">
        <f>-IF(B11&lt;10,Parametri!$B$48,IF(B11&lt;20,Parametri!$B$51,Parametri!$B$54))*M11*G11/1000</f>
        <v>-17.210922014085163</v>
      </c>
      <c r="R11" s="34">
        <f>IF(B11&lt;10,Parametri!$B$49,IF(B11&lt;20,Parametri!$B$52,0))*M11*G11/1000</f>
        <v>5.7369740046950559</v>
      </c>
      <c r="S11" s="37">
        <v>0</v>
      </c>
      <c r="T11" s="34">
        <f>-(Parametri!$B$82*(Parametri!$B$83*Parametri!$B$86+Parametri!$B$84*Parametri!$B$87+Parametri!$B$85*Parametri!$B$88)/1000000000)*MIN(B11+1,Parametri!$B$89)</f>
        <v>-2.9372500000000001</v>
      </c>
      <c r="U11" s="38">
        <f>Parametri!$B$45*Parametri!$B$92*13/1000000000*((B11+1)*Parametri!$B$117+B11*(B11+1)/2*Parametri!$B$118)</f>
        <v>11.206131300000001</v>
      </c>
      <c r="V11" s="34">
        <f>IF(B11&gt;=Parametri!$B$99-1,Parametri!$B$98,0)</f>
        <v>6</v>
      </c>
      <c r="W11" s="34">
        <f>IF(B11&gt;=Parametri!$B$101-1,Parametri!$B$100,0)</f>
        <v>5</v>
      </c>
      <c r="X11" s="34">
        <f>IF(B11&gt;=Parametri!$B$103-1,Parametri!$B$102,0)</f>
        <v>2.75</v>
      </c>
      <c r="Y11" s="34">
        <f>IF(B11&gt;=Parametri!$B$105-1,Parametri!$B$104,0)</f>
        <v>1</v>
      </c>
      <c r="Z11" s="39">
        <f t="shared" si="6"/>
        <v>16.605925248450166</v>
      </c>
      <c r="AA11" s="39">
        <f t="shared" si="7"/>
        <v>91.660565867344459</v>
      </c>
      <c r="AB11" s="40">
        <f t="shared" si="5"/>
        <v>-4.0009830116394154E-2</v>
      </c>
    </row>
    <row r="12" spans="1:28" x14ac:dyDescent="0.2">
      <c r="A12" s="30">
        <f>Parametri!$B$6+B12</f>
        <v>2033</v>
      </c>
      <c r="B12" s="31">
        <v>7</v>
      </c>
      <c r="C12" s="32">
        <f>C11*(1+Parametri!$B$14)</f>
        <v>22.836482999879316</v>
      </c>
      <c r="D12" s="32">
        <f>D11*(1+Parametri!$B$15)+Parametri!$B$18*(1-Parametri!$B$15)^B11</f>
        <v>17.708712820688476</v>
      </c>
      <c r="E12" s="33">
        <f t="shared" si="0"/>
        <v>0.77545709734647239</v>
      </c>
      <c r="F12" s="34">
        <f>F11*(1+Parametri!$B$20)</f>
        <v>2309.2787478851237</v>
      </c>
      <c r="G12" s="35">
        <f>G11*(1+Parametri!$B$22)</f>
        <v>26366.191294577482</v>
      </c>
      <c r="H12" s="34">
        <f t="shared" si="1"/>
        <v>375.25779653133264</v>
      </c>
      <c r="I12" s="36">
        <f>IF(B12&lt;=(Parametri!$B$35-Parametri!$B$6),Parametri!$B$32+(Parametri!$B$33-Parametri!$B$32)*B12/(Parametri!$B$35-Parametri!$B$6),Parametri!$B$33+(Parametri!$B$34-Parametri!$B$33)*(B12-(Parametri!$B$35-Parametri!$B$6))/(2070-Parametri!$B$35))</f>
        <v>0.16250000000000001</v>
      </c>
      <c r="J12" s="34">
        <f t="shared" si="2"/>
        <v>361.68294173133268</v>
      </c>
      <c r="K12" s="36">
        <f t="shared" si="3"/>
        <v>0.15662160406688366</v>
      </c>
      <c r="L12" s="36">
        <f>IF(B12&lt;=5,Parametri!$B$55+(Parametri!$B$56-Parametri!$B$55)/5*B12,MIN(Parametri!$B$57,Parametri!$B$56+(Parametri!$B$57-Parametri!$B$56)/24*(B12-5)))</f>
        <v>0.6333333333333333</v>
      </c>
      <c r="M12" s="32">
        <f t="shared" si="4"/>
        <v>11.215518119769367</v>
      </c>
      <c r="N12" s="34">
        <f>IF(B12&lt;Parametri!$B$72,Parametri!$B$71*Parametri!$B$70*Parametri!$B$69/Parametri!$B$72,0)</f>
        <v>0</v>
      </c>
      <c r="O12" s="34">
        <f>IF(B12&lt;10,Parametri!$B$50,IF(B12&lt;20,Parametri!$B$53,Parametri!$B$54))*M12*G12*Parametri!$B$68/1000</f>
        <v>3.1936733591073025</v>
      </c>
      <c r="P12" s="34">
        <f>MIN(Parametri!$B$77+Parametri!$B$78,
Parametri!$B$77+Parametri!$B$78*(B12+1)/Parametri!$B$79)</f>
        <v>8.3000000000000007</v>
      </c>
      <c r="Q12" s="34">
        <f>-IF(B12&lt;10,Parametri!$B$48,IF(B12&lt;20,Parametri!$B$51,Parametri!$B$54))*M12*G12/1000</f>
        <v>-17.742629772818347</v>
      </c>
      <c r="R12" s="34">
        <f>IF(B12&lt;10,Parametri!$B$49,IF(B12&lt;20,Parametri!$B$52,0))*M12*G12/1000</f>
        <v>5.9142099242727815</v>
      </c>
      <c r="S12" s="37">
        <v>0</v>
      </c>
      <c r="T12" s="34">
        <f>-(Parametri!$B$82*(Parametri!$B$83*Parametri!$B$86+Parametri!$B$84*Parametri!$B$87+Parametri!$B$85*Parametri!$B$88)/1000000000)*MIN(B12+1,Parametri!$B$89)</f>
        <v>-2.9372500000000001</v>
      </c>
      <c r="U12" s="38">
        <f>Parametri!$B$45*Parametri!$B$92*13/1000000000*((B12+1)*Parametri!$B$117+B12*(B12+1)/2*Parametri!$B$118)</f>
        <v>13.574854799999997</v>
      </c>
      <c r="V12" s="34">
        <f>IF(B12&gt;=Parametri!$B$99-1,Parametri!$B$98,0)</f>
        <v>6</v>
      </c>
      <c r="W12" s="34">
        <f>IF(B12&gt;=Parametri!$B$101-1,Parametri!$B$100,0)</f>
        <v>5</v>
      </c>
      <c r="X12" s="34">
        <f>IF(B12&gt;=Parametri!$B$103-1,Parametri!$B$102,0)</f>
        <v>2.75</v>
      </c>
      <c r="Y12" s="34">
        <f>IF(B12&gt;=Parametri!$B$105-1,Parametri!$B$104,0)</f>
        <v>1</v>
      </c>
      <c r="Z12" s="39">
        <f t="shared" si="6"/>
        <v>19.138648386288953</v>
      </c>
      <c r="AA12" s="39">
        <f t="shared" si="7"/>
        <v>110.79921425363341</v>
      </c>
      <c r="AB12" s="40">
        <f t="shared" si="5"/>
        <v>-4.7980008630445846E-2</v>
      </c>
    </row>
    <row r="13" spans="1:28" x14ac:dyDescent="0.2">
      <c r="A13" s="30">
        <f>Parametri!$B$6+B13</f>
        <v>2034</v>
      </c>
      <c r="B13" s="31">
        <v>8</v>
      </c>
      <c r="C13" s="32">
        <f>C12*(1+Parametri!$B$14)</f>
        <v>23.064847829878108</v>
      </c>
      <c r="D13" s="32">
        <f>D12*(1+Parametri!$B$15)+Parametri!$B$18*(1-Parametri!$B$15)^B12</f>
        <v>17.740290666630159</v>
      </c>
      <c r="E13" s="33">
        <f t="shared" si="0"/>
        <v>0.76914839401842749</v>
      </c>
      <c r="F13" s="34">
        <f>F12*(1+Parametri!$B$20)</f>
        <v>2327.7529778682047</v>
      </c>
      <c r="G13" s="35">
        <f>G12*(1+Parametri!$B$22)</f>
        <v>26418.923677166636</v>
      </c>
      <c r="H13" s="34">
        <f t="shared" si="1"/>
        <v>381.0864160909947</v>
      </c>
      <c r="I13" s="36">
        <f>IF(B13&lt;=(Parametri!$B$35-Parametri!$B$6),Parametri!$B$32+(Parametri!$B$33-Parametri!$B$32)*B13/(Parametri!$B$35-Parametri!$B$6),Parametri!$B$33+(Parametri!$B$34-Parametri!$B$33)*(B13-(Parametri!$B$35-Parametri!$B$6))/(2070-Parametri!$B$35))</f>
        <v>0.16371428571428573</v>
      </c>
      <c r="J13" s="34">
        <f t="shared" si="2"/>
        <v>364.95087589099472</v>
      </c>
      <c r="K13" s="36">
        <f t="shared" si="3"/>
        <v>0.15678247621670874</v>
      </c>
      <c r="L13" s="36">
        <f>IF(B13&lt;=5,Parametri!$B$55+(Parametri!$B$56-Parametri!$B$55)/5*B13,MIN(Parametri!$B$57,Parametri!$B$56+(Parametri!$B$57-Parametri!$B$56)/24*(B13-5)))</f>
        <v>0.65</v>
      </c>
      <c r="M13" s="32">
        <f t="shared" si="4"/>
        <v>11.531188933309604</v>
      </c>
      <c r="N13" s="34">
        <f>IF(B13&lt;Parametri!$B$72,Parametri!$B$71*Parametri!$B$70*Parametri!$B$69/Parametri!$B$72,0)</f>
        <v>0</v>
      </c>
      <c r="O13" s="34">
        <f>IF(B13&lt;10,Parametri!$B$50,IF(B13&lt;20,Parametri!$B$53,Parametri!$B$54))*M13*G13*Parametri!$B$68/1000</f>
        <v>3.2901292836298257</v>
      </c>
      <c r="P13" s="34">
        <f>MIN(Parametri!$B$77+Parametri!$B$78,
Parametri!$B$77+Parametri!$B$78*(B13+1)/Parametri!$B$79)</f>
        <v>8.9</v>
      </c>
      <c r="Q13" s="34">
        <f>-IF(B13&lt;10,Parametri!$B$48,IF(B13&lt;20,Parametri!$B$51,Parametri!$B$54))*M13*G13/1000</f>
        <v>-18.278496020165697</v>
      </c>
      <c r="R13" s="34">
        <f>IF(B13&lt;10,Parametri!$B$49,IF(B13&lt;20,Parametri!$B$52,0))*M13*G13/1000</f>
        <v>6.0928320067218991</v>
      </c>
      <c r="S13" s="37">
        <v>0</v>
      </c>
      <c r="T13" s="34">
        <f>-(Parametri!$B$82*(Parametri!$B$83*Parametri!$B$86+Parametri!$B$84*Parametri!$B$87+Parametri!$B$85*Parametri!$B$88)/1000000000)*MIN(B13+1,Parametri!$B$89)</f>
        <v>-2.9372500000000001</v>
      </c>
      <c r="U13" s="38">
        <f>Parametri!$B$45*Parametri!$B$92*13/1000000000*((B13+1)*Parametri!$B$117+B13*(B13+1)/2*Parametri!$B$118)</f>
        <v>16.135540199999998</v>
      </c>
      <c r="V13" s="34">
        <f>IF(B13&gt;=Parametri!$B$99-1,Parametri!$B$98,0)</f>
        <v>6</v>
      </c>
      <c r="W13" s="34">
        <f>IF(B13&gt;=Parametri!$B$101-1,Parametri!$B$100,0)</f>
        <v>5</v>
      </c>
      <c r="X13" s="34">
        <f>IF(B13&gt;=Parametri!$B$103-1,Parametri!$B$102,0)</f>
        <v>2.75</v>
      </c>
      <c r="Y13" s="34">
        <f>IF(B13&gt;=Parametri!$B$105-1,Parametri!$B$104,0)</f>
        <v>1</v>
      </c>
      <c r="Z13" s="39">
        <f t="shared" si="6"/>
        <v>21.859923463464128</v>
      </c>
      <c r="AA13" s="39">
        <f t="shared" si="7"/>
        <v>132.65913771709754</v>
      </c>
      <c r="AB13" s="40">
        <f t="shared" si="5"/>
        <v>-5.6990212869833384E-2</v>
      </c>
    </row>
    <row r="14" spans="1:28" x14ac:dyDescent="0.2">
      <c r="A14" s="30">
        <f>Parametri!$B$6+B14</f>
        <v>2035</v>
      </c>
      <c r="B14" s="31">
        <v>9</v>
      </c>
      <c r="C14" s="32">
        <f>C13*(1+Parametri!$B$14)</f>
        <v>23.29549630817689</v>
      </c>
      <c r="D14" s="32">
        <f>D13*(1+Parametri!$B$15)+Parametri!$B$18*(1-Parametri!$B$15)^B13</f>
        <v>17.772311230392358</v>
      </c>
      <c r="E14" s="33">
        <f t="shared" si="0"/>
        <v>0.7629076021940836</v>
      </c>
      <c r="F14" s="34">
        <f>F13*(1+Parametri!$B$20)</f>
        <v>2346.3750016911504</v>
      </c>
      <c r="G14" s="35">
        <f>G13*(1+Parametri!$B$22)</f>
        <v>26471.761524520971</v>
      </c>
      <c r="H14" s="34">
        <f t="shared" si="1"/>
        <v>386.98427706463332</v>
      </c>
      <c r="I14" s="36">
        <f>IF(B14&lt;=(Parametri!$B$35-Parametri!$B$6),Parametri!$B$32+(Parametri!$B$33-Parametri!$B$32)*B14/(Parametri!$B$35-Parametri!$B$6),Parametri!$B$33+(Parametri!$B$34-Parametri!$B$33)*(B14-(Parametri!$B$35-Parametri!$B$6))/(2070-Parametri!$B$35))</f>
        <v>0.16492857142857142</v>
      </c>
      <c r="J14" s="34">
        <f t="shared" si="2"/>
        <v>368.0960895646333</v>
      </c>
      <c r="K14" s="36">
        <f t="shared" si="3"/>
        <v>0.15687862737172359</v>
      </c>
      <c r="L14" s="36">
        <f>IF(B14&lt;=5,Parametri!$B$55+(Parametri!$B$56-Parametri!$B$55)/5*B14,MIN(Parametri!$B$57,Parametri!$B$56+(Parametri!$B$57-Parametri!$B$56)/24*(B14-5)))</f>
        <v>0.66666666666666663</v>
      </c>
      <c r="M14" s="32">
        <f t="shared" si="4"/>
        <v>11.848207486928239</v>
      </c>
      <c r="N14" s="34">
        <f>IF(B14&lt;Parametri!$B$72,Parametri!$B$71*Parametri!$B$70*Parametri!$B$69/Parametri!$B$72,0)</f>
        <v>0</v>
      </c>
      <c r="O14" s="34">
        <f>IF(B14&lt;10,Parametri!$B$50,IF(B14&lt;20,Parametri!$B$53,Parametri!$B$54))*M14*G14*Parametri!$B$68/1000</f>
        <v>3.3873435693396892</v>
      </c>
      <c r="P14" s="34">
        <f>MIN(Parametri!$B$77+Parametri!$B$78,
Parametri!$B$77+Parametri!$B$78*(B14+1)/Parametri!$B$79)</f>
        <v>9.5</v>
      </c>
      <c r="Q14" s="34">
        <f>-IF(B14&lt;10,Parametri!$B$48,IF(B14&lt;20,Parametri!$B$51,Parametri!$B$54))*M14*G14/1000</f>
        <v>-18.818575385220495</v>
      </c>
      <c r="R14" s="34">
        <f>IF(B14&lt;10,Parametri!$B$49,IF(B14&lt;20,Parametri!$B$52,0))*M14*G14/1000</f>
        <v>6.2728584617401646</v>
      </c>
      <c r="S14" s="37">
        <v>0</v>
      </c>
      <c r="T14" s="34">
        <f>-(Parametri!$B$82*(Parametri!$B$83*Parametri!$B$86+Parametri!$B$84*Parametri!$B$87+Parametri!$B$85*Parametri!$B$88)/1000000000)*MIN(B14+1,Parametri!$B$89)</f>
        <v>-2.9372500000000001</v>
      </c>
      <c r="U14" s="38">
        <f>Parametri!$B$45*Parametri!$B$92*13/1000000000*((B14+1)*Parametri!$B$117+B14*(B14+1)/2*Parametri!$B$118)</f>
        <v>18.888187499999997</v>
      </c>
      <c r="V14" s="34">
        <f>IF(B14&gt;=Parametri!$B$99-1,Parametri!$B$98,0)</f>
        <v>6</v>
      </c>
      <c r="W14" s="34">
        <f>IF(B14&gt;=Parametri!$B$101-1,Parametri!$B$100,0)</f>
        <v>5</v>
      </c>
      <c r="X14" s="34">
        <f>IF(B14&gt;=Parametri!$B$103-1,Parametri!$B$102,0)</f>
        <v>2.75</v>
      </c>
      <c r="Y14" s="34">
        <f>IF(B14&gt;=Parametri!$B$105-1,Parametri!$B$104,0)</f>
        <v>1</v>
      </c>
      <c r="Z14" s="39">
        <f t="shared" si="6"/>
        <v>24.769705684119192</v>
      </c>
      <c r="AA14" s="39">
        <f t="shared" si="7"/>
        <v>157.42884340121674</v>
      </c>
      <c r="AB14" s="40">
        <f t="shared" si="5"/>
        <v>-6.7094493969527408E-2</v>
      </c>
    </row>
    <row r="15" spans="1:28" x14ac:dyDescent="0.2">
      <c r="A15" s="30">
        <f>Parametri!$B$6+B15</f>
        <v>2036</v>
      </c>
      <c r="B15" s="31">
        <v>10</v>
      </c>
      <c r="C15" s="32">
        <f>C14*(1+Parametri!$B$14)</f>
        <v>23.52845127125866</v>
      </c>
      <c r="D15" s="32">
        <f>D14*(1+Parametri!$B$15)+Parametri!$B$18*(1-Parametri!$B$15)^B14</f>
        <v>17.804775301421223</v>
      </c>
      <c r="E15" s="33">
        <f t="shared" si="0"/>
        <v>0.75673384092096052</v>
      </c>
      <c r="F15" s="34">
        <f>F14*(1+Parametri!$B$20)</f>
        <v>2365.1460017046797</v>
      </c>
      <c r="G15" s="35">
        <f>G14*(1+Parametri!$B$22)</f>
        <v>26524.705047570013</v>
      </c>
      <c r="H15" s="34">
        <f t="shared" si="1"/>
        <v>392.9521142832204</v>
      </c>
      <c r="I15" s="36">
        <f>IF(B15&lt;=(Parametri!$B$35-Parametri!$B$6),Parametri!$B$32+(Parametri!$B$33-Parametri!$B$32)*B15/(Parametri!$B$35-Parametri!$B$6),Parametri!$B$33+(Parametri!$B$34-Parametri!$B$33)*(B15-(Parametri!$B$35-Parametri!$B$6))/(2070-Parametri!$B$35))</f>
        <v>0.16614285714285715</v>
      </c>
      <c r="J15" s="34">
        <f t="shared" si="2"/>
        <v>371.11931758322038</v>
      </c>
      <c r="K15" s="36">
        <f t="shared" si="3"/>
        <v>0.15691180050438155</v>
      </c>
      <c r="L15" s="36">
        <f>IF(B15&lt;=5,Parametri!$B$55+(Parametri!$B$56-Parametri!$B$55)/5*B15,MIN(Parametri!$B$57,Parametri!$B$56+(Parametri!$B$57-Parametri!$B$56)/24*(B15-5)))</f>
        <v>0.68333333333333335</v>
      </c>
      <c r="M15" s="32">
        <f t="shared" si="4"/>
        <v>12.16659645597117</v>
      </c>
      <c r="N15" s="34">
        <f>IF(B15&lt;Parametri!$B$72,Parametri!$B$71*Parametri!$B$70*Parametri!$B$69/Parametri!$B$72,0)</f>
        <v>0</v>
      </c>
      <c r="O15" s="34">
        <f>IF(B15&lt;10,Parametri!$B$50,IF(B15&lt;20,Parametri!$B$53,Parametri!$B$54))*M15*G15*Parametri!$B$68/1000</f>
        <v>5.227989195324624</v>
      </c>
      <c r="P15" s="34">
        <f>MIN(Parametri!$B$77+Parametri!$B$78,
Parametri!$B$77+Parametri!$B$78*(B15+1)/Parametri!$B$79)</f>
        <v>10.1</v>
      </c>
      <c r="Q15" s="34">
        <f>-IF(B15&lt;10,Parametri!$B$48,IF(B15&lt;20,Parametri!$B$51,Parametri!$B$54))*M15*G15/1000</f>
        <v>-19.362922945646755</v>
      </c>
      <c r="R15" s="34">
        <f>IF(B15&lt;10,Parametri!$B$49,IF(B15&lt;20,Parametri!$B$52,0))*M15*G15/1000</f>
        <v>0</v>
      </c>
      <c r="S15" s="37">
        <v>0</v>
      </c>
      <c r="T15" s="34">
        <f>-(Parametri!$B$82*(Parametri!$B$83*Parametri!$B$86+Parametri!$B$84*Parametri!$B$87+Parametri!$B$85*Parametri!$B$88)/1000000000)*MIN(B15+1,Parametri!$B$89)</f>
        <v>-2.9372500000000001</v>
      </c>
      <c r="U15" s="38">
        <f>Parametri!$B$45*Parametri!$B$92*13/1000000000*((B15+1)*Parametri!$B$117+B15*(B15+1)/2*Parametri!$B$118)</f>
        <v>21.832796699999996</v>
      </c>
      <c r="V15" s="34">
        <f>IF(B15&gt;=Parametri!$B$99-1,Parametri!$B$98,0)</f>
        <v>6</v>
      </c>
      <c r="W15" s="34">
        <f>IF(B15&gt;=Parametri!$B$101-1,Parametri!$B$100,0)</f>
        <v>5</v>
      </c>
      <c r="X15" s="34">
        <f>IF(B15&gt;=Parametri!$B$103-1,Parametri!$B$102,0)</f>
        <v>2.75</v>
      </c>
      <c r="Y15" s="34">
        <f>IF(B15&gt;=Parametri!$B$105-1,Parametri!$B$104,0)</f>
        <v>1</v>
      </c>
      <c r="Z15" s="39">
        <f t="shared" si="6"/>
        <v>29.610612949677865</v>
      </c>
      <c r="AA15" s="39">
        <f t="shared" si="7"/>
        <v>187.0394563508946</v>
      </c>
      <c r="AB15" s="40">
        <f t="shared" si="5"/>
        <v>-7.9081568840184011E-2</v>
      </c>
    </row>
    <row r="16" spans="1:28" x14ac:dyDescent="0.2">
      <c r="A16" s="30">
        <f>Parametri!$B$6+B16</f>
        <v>2037</v>
      </c>
      <c r="B16" s="31">
        <v>11</v>
      </c>
      <c r="C16" s="32">
        <f>C15*(1+Parametri!$B$14)</f>
        <v>23.763735783971246</v>
      </c>
      <c r="D16" s="32">
        <f>D15*(1+Parametri!$B$15)+Parametri!$B$18*(1-Parametri!$B$15)^B15</f>
        <v>17.83768368023085</v>
      </c>
      <c r="E16" s="33">
        <f t="shared" si="0"/>
        <v>0.75062624169817838</v>
      </c>
      <c r="F16" s="34">
        <f>F15*(1+Parametri!$B$20)</f>
        <v>2384.067169718317</v>
      </c>
      <c r="G16" s="35">
        <f>G15*(1+Parametri!$B$22)</f>
        <v>26577.754457665153</v>
      </c>
      <c r="H16" s="34">
        <f t="shared" si="1"/>
        <v>398.99066990357267</v>
      </c>
      <c r="I16" s="36">
        <f>IF(B16&lt;=(Parametri!$B$35-Parametri!$B$6),Parametri!$B$32+(Parametri!$B$33-Parametri!$B$32)*B16/(Parametri!$B$35-Parametri!$B$6),Parametri!$B$33+(Parametri!$B$34-Parametri!$B$33)*(B16-(Parametri!$B$35-Parametri!$B$6))/(2070-Parametri!$B$35))</f>
        <v>0.16735714285714287</v>
      </c>
      <c r="J16" s="34">
        <f t="shared" si="2"/>
        <v>374.02130210357268</v>
      </c>
      <c r="K16" s="36">
        <f t="shared" si="3"/>
        <v>0.15688370984436825</v>
      </c>
      <c r="L16" s="36">
        <f>IF(B16&lt;=5,Parametri!$B$55+(Parametri!$B$56-Parametri!$B$55)/5*B16,MIN(Parametri!$B$57,Parametri!$B$56+(Parametri!$B$57-Parametri!$B$56)/24*(B16-5)))</f>
        <v>0.7</v>
      </c>
      <c r="M16" s="32">
        <f t="shared" si="4"/>
        <v>12.486378576161593</v>
      </c>
      <c r="N16" s="34">
        <f>IF(B16&lt;Parametri!$B$72,Parametri!$B$71*Parametri!$B$70*Parametri!$B$69/Parametri!$B$72,0)</f>
        <v>0</v>
      </c>
      <c r="O16" s="34">
        <f>IF(B16&lt;10,Parametri!$B$50,IF(B16&lt;20,Parametri!$B$53,Parametri!$B$54))*M16*G16*Parametri!$B$68/1000</f>
        <v>5.3761304425753096</v>
      </c>
      <c r="P16" s="34">
        <f>MIN(Parametri!$B$77+Parametri!$B$78,
Parametri!$B$77+Parametri!$B$78*(B16+1)/Parametri!$B$79)</f>
        <v>10.7</v>
      </c>
      <c r="Q16" s="34">
        <f>-IF(B16&lt;10,Parametri!$B$48,IF(B16&lt;20,Parametri!$B$51,Parametri!$B$54))*M16*G16/1000</f>
        <v>-19.911594231760407</v>
      </c>
      <c r="R16" s="34">
        <f>IF(B16&lt;10,Parametri!$B$49,IF(B16&lt;20,Parametri!$B$52,0))*M16*G16/1000</f>
        <v>0</v>
      </c>
      <c r="S16" s="37">
        <v>0</v>
      </c>
      <c r="T16" s="34">
        <f>-(Parametri!$B$82*(Parametri!$B$83*Parametri!$B$86+Parametri!$B$84*Parametri!$B$87+Parametri!$B$85*Parametri!$B$88)/1000000000)*MIN(B16+1,Parametri!$B$89)</f>
        <v>-2.9372500000000001</v>
      </c>
      <c r="U16" s="38">
        <f>Parametri!$B$45*Parametri!$B$92*13/1000000000*((B16+1)*Parametri!$B$117+B16*(B16+1)/2*Parametri!$B$118)</f>
        <v>24.969367799999997</v>
      </c>
      <c r="V16" s="34">
        <f>IF(B16&gt;=Parametri!$B$99-1,Parametri!$B$98,0)</f>
        <v>6</v>
      </c>
      <c r="W16" s="34">
        <f>IF(B16&gt;=Parametri!$B$101-1,Parametri!$B$100,0)</f>
        <v>5</v>
      </c>
      <c r="X16" s="34">
        <f>IF(B16&gt;=Parametri!$B$103-1,Parametri!$B$102,0)</f>
        <v>2.75</v>
      </c>
      <c r="Y16" s="34">
        <f>IF(B16&gt;=Parametri!$B$105-1,Parametri!$B$104,0)</f>
        <v>1</v>
      </c>
      <c r="Z16" s="39">
        <f t="shared" si="6"/>
        <v>32.946654010814896</v>
      </c>
      <c r="AA16" s="39">
        <f t="shared" si="7"/>
        <v>219.98611036170951</v>
      </c>
      <c r="AB16" s="40">
        <f t="shared" si="5"/>
        <v>-9.2273453179467835E-2</v>
      </c>
    </row>
    <row r="17" spans="1:28" x14ac:dyDescent="0.2">
      <c r="A17" s="30">
        <f>Parametri!$B$6+B17</f>
        <v>2038</v>
      </c>
      <c r="B17" s="31">
        <v>12</v>
      </c>
      <c r="C17" s="32">
        <f>C16*(1+Parametri!$B$14)</f>
        <v>24.001373141810959</v>
      </c>
      <c r="D17" s="32">
        <f>D16*(1+Parametri!$B$15)+Parametri!$B$18*(1-Parametri!$B$15)^B16</f>
        <v>17.871037178423013</v>
      </c>
      <c r="E17" s="33">
        <f t="shared" si="0"/>
        <v>0.74458394829466001</v>
      </c>
      <c r="F17" s="34">
        <f>F16*(1+Parametri!$B$20)</f>
        <v>2403.1397070760636</v>
      </c>
      <c r="G17" s="35">
        <f>G16*(1+Parametri!$B$22)</f>
        <v>26630.909966580482</v>
      </c>
      <c r="H17" s="34">
        <f t="shared" si="1"/>
        <v>405.10069347853647</v>
      </c>
      <c r="I17" s="36">
        <f>IF(B17&lt;=(Parametri!$B$35-Parametri!$B$6),Parametri!$B$32+(Parametri!$B$33-Parametri!$B$32)*B17/(Parametri!$B$35-Parametri!$B$6),Parametri!$B$33+(Parametri!$B$34-Parametri!$B$33)*(B17-(Parametri!$B$35-Parametri!$B$6))/(2070-Parametri!$B$35))</f>
        <v>0.16857142857142859</v>
      </c>
      <c r="J17" s="34">
        <f t="shared" si="2"/>
        <v>376.80279267853649</v>
      </c>
      <c r="K17" s="36">
        <f t="shared" si="3"/>
        <v>0.15679604126594793</v>
      </c>
      <c r="L17" s="36">
        <f>IF(B17&lt;=5,Parametri!$B$55+(Parametri!$B$56-Parametri!$B$55)/5*B17,MIN(Parametri!$B$57,Parametri!$B$56+(Parametri!$B$57-Parametri!$B$56)/24*(B17-5)))</f>
        <v>0.71666666666666667</v>
      </c>
      <c r="M17" s="32">
        <f t="shared" si="4"/>
        <v>12.807576644536493</v>
      </c>
      <c r="N17" s="34">
        <f>IF(B17&lt;Parametri!$B$72,Parametri!$B$71*Parametri!$B$70*Parametri!$B$69/Parametri!$B$72,0)</f>
        <v>0</v>
      </c>
      <c r="O17" s="34">
        <f>IF(B17&lt;10,Parametri!$B$50,IF(B17&lt;20,Parametri!$B$53,Parametri!$B$54))*M17*G17*Parametri!$B$68/1000</f>
        <v>5.5254542122738313</v>
      </c>
      <c r="P17" s="34">
        <f>MIN(Parametri!$B$77+Parametri!$B$78,
Parametri!$B$77+Parametri!$B$78*(B17+1)/Parametri!$B$79)</f>
        <v>11.3</v>
      </c>
      <c r="Q17" s="34">
        <f>-IF(B17&lt;10,Parametri!$B$48,IF(B17&lt;20,Parametri!$B$51,Parametri!$B$54))*M17*G17/1000</f>
        <v>-20.464645230643818</v>
      </c>
      <c r="R17" s="34">
        <f>IF(B17&lt;10,Parametri!$B$49,IF(B17&lt;20,Parametri!$B$52,0))*M17*G17/1000</f>
        <v>0</v>
      </c>
      <c r="S17" s="37">
        <v>0</v>
      </c>
      <c r="T17" s="34">
        <f>-(Parametri!$B$82*(Parametri!$B$83*Parametri!$B$86+Parametri!$B$84*Parametri!$B$87+Parametri!$B$85*Parametri!$B$88)/1000000000)*MIN(B17+1,Parametri!$B$89)</f>
        <v>-2.9372500000000001</v>
      </c>
      <c r="U17" s="38">
        <f>Parametri!$B$45*Parametri!$B$92*13/1000000000*((B17+1)*Parametri!$B$117+B17*(B17+1)/2*Parametri!$B$118)</f>
        <v>28.297900799999997</v>
      </c>
      <c r="V17" s="34">
        <f>IF(B17&gt;=Parametri!$B$99-1,Parametri!$B$98,0)</f>
        <v>6</v>
      </c>
      <c r="W17" s="34">
        <f>IF(B17&gt;=Parametri!$B$101-1,Parametri!$B$100,0)</f>
        <v>5</v>
      </c>
      <c r="X17" s="34">
        <f>IF(B17&gt;=Parametri!$B$103-1,Parametri!$B$102,0)</f>
        <v>2.75</v>
      </c>
      <c r="Y17" s="34">
        <f>IF(B17&gt;=Parametri!$B$105-1,Parametri!$B$104,0)</f>
        <v>1</v>
      </c>
      <c r="Z17" s="39">
        <f t="shared" si="6"/>
        <v>36.47145978163001</v>
      </c>
      <c r="AA17" s="39">
        <f t="shared" si="7"/>
        <v>256.45757014333952</v>
      </c>
      <c r="AB17" s="40">
        <f t="shared" si="5"/>
        <v>-0.10671771157881425</v>
      </c>
    </row>
    <row r="18" spans="1:28" x14ac:dyDescent="0.2">
      <c r="A18" s="30">
        <f>Parametri!$B$6+B18</f>
        <v>2039</v>
      </c>
      <c r="B18" s="31">
        <v>13</v>
      </c>
      <c r="C18" s="32">
        <f>C17*(1+Parametri!$B$14)</f>
        <v>24.241386873229068</v>
      </c>
      <c r="D18" s="32">
        <f>D17*(1+Parametri!$B$15)+Parametri!$B$18*(1-Parametri!$B$15)^B17</f>
        <v>17.904836618707179</v>
      </c>
      <c r="E18" s="33">
        <f t="shared" si="0"/>
        <v>0.73860611657001995</v>
      </c>
      <c r="F18" s="34">
        <f>F17*(1+Parametri!$B$20)</f>
        <v>2422.3648247326723</v>
      </c>
      <c r="G18" s="35">
        <f>G17*(1+Parametri!$B$22)</f>
        <v>26684.171786513645</v>
      </c>
      <c r="H18" s="34">
        <f t="shared" si="1"/>
        <v>411.28294202782587</v>
      </c>
      <c r="I18" s="36">
        <f>IF(B18&lt;=(Parametri!$B$35-Parametri!$B$6),Parametri!$B$32+(Parametri!$B$33-Parametri!$B$32)*B18/(Parametri!$B$35-Parametri!$B$6),Parametri!$B$33+(Parametri!$B$34-Parametri!$B$33)*(B18-(Parametri!$B$35-Parametri!$B$6))/(2070-Parametri!$B$35))</f>
        <v>0.16978571428571429</v>
      </c>
      <c r="J18" s="34">
        <f t="shared" si="2"/>
        <v>379.46454632782587</v>
      </c>
      <c r="K18" s="36">
        <f t="shared" si="3"/>
        <v>0.15665045267064712</v>
      </c>
      <c r="L18" s="36">
        <f>IF(B18&lt;=5,Parametri!$B$55+(Parametri!$B$56-Parametri!$B$55)/5*B18,MIN(Parametri!$B$57,Parametri!$B$56+(Parametri!$B$57-Parametri!$B$56)/24*(B18-5)))</f>
        <v>0.73333333333333328</v>
      </c>
      <c r="M18" s="32">
        <f t="shared" si="4"/>
        <v>13.130213520385263</v>
      </c>
      <c r="N18" s="34">
        <f>IF(B18&lt;Parametri!$B$72,Parametri!$B$71*Parametri!$B$70*Parametri!$B$69/Parametri!$B$72,0)</f>
        <v>0</v>
      </c>
      <c r="O18" s="34">
        <f>IF(B18&lt;10,Parametri!$B$50,IF(B18&lt;20,Parametri!$B$53,Parametri!$B$54))*M18*G18*Parametri!$B$68/1000</f>
        <v>5.6759757453793442</v>
      </c>
      <c r="P18" s="34">
        <f>MIN(Parametri!$B$77+Parametri!$B$78,
Parametri!$B$77+Parametri!$B$78*(B18+1)/Parametri!$B$79)</f>
        <v>11.9</v>
      </c>
      <c r="Q18" s="34">
        <f>-IF(B18&lt;10,Parametri!$B$48,IF(B18&lt;20,Parametri!$B$51,Parametri!$B$54))*M18*G18/1000</f>
        <v>-21.022132390293869</v>
      </c>
      <c r="R18" s="34">
        <f>IF(B18&lt;10,Parametri!$B$49,IF(B18&lt;20,Parametri!$B$52,0))*M18*G18/1000</f>
        <v>0</v>
      </c>
      <c r="S18" s="37">
        <v>0</v>
      </c>
      <c r="T18" s="34">
        <f>-(Parametri!$B$82*(Parametri!$B$83*Parametri!$B$86+Parametri!$B$84*Parametri!$B$87+Parametri!$B$85*Parametri!$B$88)/1000000000)*MIN(B18+1,Parametri!$B$89)</f>
        <v>-2.9372500000000001</v>
      </c>
      <c r="U18" s="38">
        <f>Parametri!$B$45*Parametri!$B$92*13/1000000000*((B18+1)*Parametri!$B$117+B18*(B18+1)/2*Parametri!$B$118)</f>
        <v>31.818395699999996</v>
      </c>
      <c r="V18" s="34">
        <f>IF(B18&gt;=Parametri!$B$99-1,Parametri!$B$98,0)</f>
        <v>6</v>
      </c>
      <c r="W18" s="34">
        <f>IF(B18&gt;=Parametri!$B$101-1,Parametri!$B$100,0)</f>
        <v>5</v>
      </c>
      <c r="X18" s="34">
        <f>IF(B18&gt;=Parametri!$B$103-1,Parametri!$B$102,0)</f>
        <v>2.75</v>
      </c>
      <c r="Y18" s="34">
        <f>IF(B18&gt;=Parametri!$B$105-1,Parametri!$B$104,0)</f>
        <v>1</v>
      </c>
      <c r="Z18" s="39">
        <f t="shared" si="6"/>
        <v>40.184989055085474</v>
      </c>
      <c r="AA18" s="39">
        <f t="shared" si="7"/>
        <v>296.64255919842498</v>
      </c>
      <c r="AB18" s="40">
        <f t="shared" si="5"/>
        <v>-0.12245990206333264</v>
      </c>
    </row>
    <row r="19" spans="1:28" x14ac:dyDescent="0.2">
      <c r="A19" s="30">
        <f>Parametri!$B$6+B19</f>
        <v>2040</v>
      </c>
      <c r="B19" s="31">
        <v>14</v>
      </c>
      <c r="C19" s="32">
        <f>C18*(1+Parametri!$B$14)</f>
        <v>24.48380074196136</v>
      </c>
      <c r="D19" s="32">
        <f>D18*(1+Parametri!$B$15)+Parametri!$B$18*(1-Parametri!$B$15)^B18</f>
        <v>17.939082834920804</v>
      </c>
      <c r="E19" s="33">
        <f t="shared" si="0"/>
        <v>0.73269191429809566</v>
      </c>
      <c r="F19" s="34">
        <f>F18*(1+Parametri!$B$20)</f>
        <v>2441.7437433305336</v>
      </c>
      <c r="G19" s="35">
        <f>G18*(1+Parametri!$B$22)</f>
        <v>26737.540130086672</v>
      </c>
      <c r="H19" s="34">
        <f t="shared" si="1"/>
        <v>417.53818010952125</v>
      </c>
      <c r="I19" s="36">
        <f>IF(B19&lt;=(Parametri!$B$35-Parametri!$B$6),Parametri!$B$32+(Parametri!$B$33-Parametri!$B$32)*B19/(Parametri!$B$35-Parametri!$B$6),Parametri!$B$33+(Parametri!$B$34-Parametri!$B$33)*(B19-(Parametri!$B$35-Parametri!$B$6))/(2070-Parametri!$B$35))</f>
        <v>0.17100000000000001</v>
      </c>
      <c r="J19" s="34">
        <f t="shared" si="2"/>
        <v>382.00732760952127</v>
      </c>
      <c r="K19" s="36">
        <f t="shared" si="3"/>
        <v>0.15644857436532797</v>
      </c>
      <c r="L19" s="36">
        <f>IF(B19&lt;=5,Parametri!$B$55+(Parametri!$B$56-Parametri!$B$55)/5*B19,MIN(Parametri!$B$57,Parametri!$B$56+(Parametri!$B$57-Parametri!$B$56)/24*(B19-5)))</f>
        <v>0.75</v>
      </c>
      <c r="M19" s="32">
        <f t="shared" si="4"/>
        <v>13.454312126190603</v>
      </c>
      <c r="N19" s="34">
        <f>IF(B19&lt;Parametri!$B$72,Parametri!$B$71*Parametri!$B$70*Parametri!$B$69/Parametri!$B$72,0)</f>
        <v>0</v>
      </c>
      <c r="O19" s="34">
        <f>IF(B19&lt;10,Parametri!$B$50,IF(B19&lt;20,Parametri!$B$53,Parametri!$B$54))*M19*G19*Parametri!$B$68/1000</f>
        <v>5.827710408427075</v>
      </c>
      <c r="P19" s="34">
        <f>MIN(Parametri!$B$77+Parametri!$B$78,
Parametri!$B$77+Parametri!$B$78*(B19+1)/Parametri!$B$79)</f>
        <v>12.5</v>
      </c>
      <c r="Q19" s="34">
        <f>-IF(B19&lt;10,Parametri!$B$48,IF(B19&lt;20,Parametri!$B$51,Parametri!$B$54))*M19*G19/1000</f>
        <v>-21.584112623803978</v>
      </c>
      <c r="R19" s="34">
        <f>IF(B19&lt;10,Parametri!$B$49,IF(B19&lt;20,Parametri!$B$52,0))*M19*G19/1000</f>
        <v>0</v>
      </c>
      <c r="S19" s="37">
        <v>0</v>
      </c>
      <c r="T19" s="34">
        <f>-(Parametri!$B$82*(Parametri!$B$83*Parametri!$B$86+Parametri!$B$84*Parametri!$B$87+Parametri!$B$85*Parametri!$B$88)/1000000000)*MIN(B19+1,Parametri!$B$89)</f>
        <v>-2.9372500000000001</v>
      </c>
      <c r="U19" s="38">
        <f>Parametri!$B$45*Parametri!$B$92*13/1000000000*((B19+1)*Parametri!$B$117+B19*(B19+1)/2*Parametri!$B$118)</f>
        <v>35.530852499999995</v>
      </c>
      <c r="V19" s="34">
        <f>IF(B19&gt;=Parametri!$B$99-1,Parametri!$B$98,0)</f>
        <v>6</v>
      </c>
      <c r="W19" s="34">
        <f>IF(B19&gt;=Parametri!$B$101-1,Parametri!$B$100,0)</f>
        <v>5</v>
      </c>
      <c r="X19" s="34">
        <f>IF(B19&gt;=Parametri!$B$103-1,Parametri!$B$102,0)</f>
        <v>2.75</v>
      </c>
      <c r="Y19" s="34">
        <f>IF(B19&gt;=Parametri!$B$105-1,Parametri!$B$104,0)</f>
        <v>1</v>
      </c>
      <c r="Z19" s="39">
        <f t="shared" si="6"/>
        <v>44.087200284623087</v>
      </c>
      <c r="AA19" s="39">
        <f t="shared" si="7"/>
        <v>340.72975948304804</v>
      </c>
      <c r="AB19" s="40">
        <f t="shared" si="5"/>
        <v>-0.1395436193555239</v>
      </c>
    </row>
    <row r="20" spans="1:28" x14ac:dyDescent="0.2">
      <c r="A20" s="30">
        <f>Parametri!$B$6+B20</f>
        <v>2041</v>
      </c>
      <c r="B20" s="31">
        <v>15</v>
      </c>
      <c r="C20" s="32">
        <f>C19*(1+Parametri!$B$14)</f>
        <v>24.728638749380973</v>
      </c>
      <c r="D20" s="32">
        <f>D19*(1+Parametri!$B$15)+Parametri!$B$18*(1-Parametri!$B$15)^B19</f>
        <v>17.973776672049901</v>
      </c>
      <c r="E20" s="33">
        <f t="shared" si="0"/>
        <v>0.72684052099308682</v>
      </c>
      <c r="F20" s="34">
        <f>F19*(1+Parametri!$B$20)</f>
        <v>2461.2776932771781</v>
      </c>
      <c r="G20" s="35">
        <f>G19*(1+Parametri!$B$22)</f>
        <v>26791.015210346846</v>
      </c>
      <c r="H20" s="34">
        <f t="shared" si="1"/>
        <v>418.33516526734439</v>
      </c>
      <c r="I20" s="36">
        <f>IF(B20&lt;=(Parametri!$B$35-Parametri!$B$6),Parametri!$B$32+(Parametri!$B$33-Parametri!$B$32)*B20/(Parametri!$B$35-Parametri!$B$6),Parametri!$B$33+(Parametri!$B$34-Parametri!$B$33)*(B20-(Parametri!$B$35-Parametri!$B$6))/(2070-Parametri!$B$35))</f>
        <v>0.16996666666666668</v>
      </c>
      <c r="J20" s="34">
        <f t="shared" si="2"/>
        <v>378.89989406734441</v>
      </c>
      <c r="K20" s="36">
        <f t="shared" si="3"/>
        <v>0.15394439038808386</v>
      </c>
      <c r="L20" s="36">
        <f>IF(B20&lt;=5,Parametri!$B$55+(Parametri!$B$56-Parametri!$B$55)/5*B20,MIN(Parametri!$B$57,Parametri!$B$56+(Parametri!$B$57-Parametri!$B$56)/24*(B20-5)))</f>
        <v>0.76666666666666661</v>
      </c>
      <c r="M20" s="32">
        <f t="shared" si="4"/>
        <v>13.77989544857159</v>
      </c>
      <c r="N20" s="34">
        <f>IF(B20&lt;Parametri!$B$72,Parametri!$B$71*Parametri!$B$70*Parametri!$B$69/Parametri!$B$72,0)</f>
        <v>0</v>
      </c>
      <c r="O20" s="34">
        <f>IF(B20&lt;10,Parametri!$B$50,IF(B20&lt;20,Parametri!$B$53,Parametri!$B$54))*M20*G20*Parametri!$B$68/1000</f>
        <v>5.9806736946666668</v>
      </c>
      <c r="P20" s="34">
        <f>MIN(Parametri!$B$77+Parametri!$B$78,
Parametri!$B$77+Parametri!$B$78*(B20+1)/Parametri!$B$79)</f>
        <v>12.5</v>
      </c>
      <c r="Q20" s="34">
        <f>-IF(B20&lt;10,Parametri!$B$48,IF(B20&lt;20,Parametri!$B$51,Parametri!$B$54))*M20*G20/1000</f>
        <v>-22.150643313580247</v>
      </c>
      <c r="R20" s="34">
        <f>IF(B20&lt;10,Parametri!$B$49,IF(B20&lt;20,Parametri!$B$52,0))*M20*G20/1000</f>
        <v>0</v>
      </c>
      <c r="S20" s="37">
        <v>0</v>
      </c>
      <c r="T20" s="34">
        <f>-(Parametri!$B$82*(Parametri!$B$83*Parametri!$B$86+Parametri!$B$84*Parametri!$B$87+Parametri!$B$85*Parametri!$B$88)/1000000000)*MIN(B20+1,Parametri!$B$89)</f>
        <v>-2.9372500000000001</v>
      </c>
      <c r="U20" s="38">
        <f>Parametri!$B$45*Parametri!$B$92*13/1000000000*((B20+1)*Parametri!$B$117+B20*(B20+1)/2*Parametri!$B$118)</f>
        <v>39.435271199999995</v>
      </c>
      <c r="V20" s="34">
        <f>IF(B20&gt;=Parametri!$B$99-1,Parametri!$B$98,0)</f>
        <v>6</v>
      </c>
      <c r="W20" s="34">
        <f>IF(B20&gt;=Parametri!$B$101-1,Parametri!$B$100,0)</f>
        <v>5</v>
      </c>
      <c r="X20" s="34">
        <f>IF(B20&gt;=Parametri!$B$103-1,Parametri!$B$102,0)</f>
        <v>2.75</v>
      </c>
      <c r="Y20" s="34">
        <f>IF(B20&gt;=Parametri!$B$105-1,Parametri!$B$104,0)</f>
        <v>1</v>
      </c>
      <c r="Z20" s="39">
        <f t="shared" si="6"/>
        <v>47.578051581086413</v>
      </c>
      <c r="AA20" s="39">
        <f t="shared" si="7"/>
        <v>388.30781106413446</v>
      </c>
      <c r="AB20" s="40">
        <f t="shared" si="5"/>
        <v>-0.15776676159897451</v>
      </c>
    </row>
    <row r="21" spans="1:28" x14ac:dyDescent="0.2">
      <c r="A21" s="30">
        <f>Parametri!$B$6+B21</f>
        <v>2042</v>
      </c>
      <c r="B21" s="31">
        <v>16</v>
      </c>
      <c r="C21" s="32">
        <f>C20*(1+Parametri!$B$14)</f>
        <v>24.975925136874782</v>
      </c>
      <c r="D21" s="32">
        <f>D20*(1+Parametri!$B$15)+Parametri!$B$18*(1-Parametri!$B$15)^B20</f>
        <v>18.008918986249867</v>
      </c>
      <c r="E21" s="33">
        <f t="shared" si="0"/>
        <v>0.72105112773825797</v>
      </c>
      <c r="F21" s="34">
        <f>F20*(1+Parametri!$B$20)</f>
        <v>2480.9679148233954</v>
      </c>
      <c r="G21" s="35">
        <f>G20*(1+Parametri!$B$22)</f>
        <v>26844.59724076754</v>
      </c>
      <c r="H21" s="34">
        <f t="shared" si="1"/>
        <v>419.11817974416562</v>
      </c>
      <c r="I21" s="36">
        <f>IF(B21&lt;=(Parametri!$B$35-Parametri!$B$6),Parametri!$B$32+(Parametri!$B$33-Parametri!$B$32)*B21/(Parametri!$B$35-Parametri!$B$6),Parametri!$B$33+(Parametri!$B$34-Parametri!$B$33)*(B21-(Parametri!$B$35-Parametri!$B$6))/(2070-Parametri!$B$35))</f>
        <v>0.16893333333333335</v>
      </c>
      <c r="J21" s="34">
        <f t="shared" si="2"/>
        <v>375.5865279441656</v>
      </c>
      <c r="K21" s="36">
        <f t="shared" si="3"/>
        <v>0.15138709602010361</v>
      </c>
      <c r="L21" s="36">
        <f>IF(B21&lt;=5,Parametri!$B$55+(Parametri!$B$56-Parametri!$B$55)/5*B21,MIN(Parametri!$B$57,Parametri!$B$56+(Parametri!$B$57-Parametri!$B$56)/24*(B21-5)))</f>
        <v>0.78333333333333333</v>
      </c>
      <c r="M21" s="32">
        <f t="shared" si="4"/>
        <v>14.106986539229062</v>
      </c>
      <c r="N21" s="34">
        <f>IF(B21&lt;Parametri!$B$72,Parametri!$B$71*Parametri!$B$70*Parametri!$B$69/Parametri!$B$72,0)</f>
        <v>0</v>
      </c>
      <c r="O21" s="34">
        <f>IF(B21&lt;10,Parametri!$B$50,IF(B21&lt;20,Parametri!$B$53,Parametri!$B$54))*M21*G21*Parametri!$B$68/1000</f>
        <v>6.1348812252098393</v>
      </c>
      <c r="P21" s="34">
        <f>MIN(Parametri!$B$77+Parametri!$B$78,
Parametri!$B$77+Parametri!$B$78*(B21+1)/Parametri!$B$79)</f>
        <v>12.5</v>
      </c>
      <c r="Q21" s="34">
        <f>-IF(B21&lt;10,Parametri!$B$48,IF(B21&lt;20,Parametri!$B$51,Parametri!$B$54))*M21*G21/1000</f>
        <v>-22.721782315591998</v>
      </c>
      <c r="R21" s="34">
        <f>IF(B21&lt;10,Parametri!$B$49,IF(B21&lt;20,Parametri!$B$52,0))*M21*G21/1000</f>
        <v>0</v>
      </c>
      <c r="S21" s="37">
        <v>0</v>
      </c>
      <c r="T21" s="34">
        <f>-(Parametri!$B$82*(Parametri!$B$83*Parametri!$B$86+Parametri!$B$84*Parametri!$B$87+Parametri!$B$85*Parametri!$B$88)/1000000000)*MIN(B21+1,Parametri!$B$89)</f>
        <v>-2.9372500000000001</v>
      </c>
      <c r="U21" s="38">
        <f>Parametri!$B$45*Parametri!$B$92*13/1000000000*((B21+1)*Parametri!$B$117+B21*(B21+1)/2*Parametri!$B$118)</f>
        <v>43.531651799999999</v>
      </c>
      <c r="V21" s="34">
        <f>IF(B21&gt;=Parametri!$B$99-1,Parametri!$B$98,0)</f>
        <v>6</v>
      </c>
      <c r="W21" s="34">
        <f>IF(B21&gt;=Parametri!$B$101-1,Parametri!$B$100,0)</f>
        <v>5</v>
      </c>
      <c r="X21" s="34">
        <f>IF(B21&gt;=Parametri!$B$103-1,Parametri!$B$102,0)</f>
        <v>2.75</v>
      </c>
      <c r="Y21" s="34">
        <f>IF(B21&gt;=Parametri!$B$105-1,Parametri!$B$104,0)</f>
        <v>1</v>
      </c>
      <c r="Z21" s="39">
        <f t="shared" si="6"/>
        <v>51.257500709617837</v>
      </c>
      <c r="AA21" s="39">
        <f t="shared" si="7"/>
        <v>439.56531177375228</v>
      </c>
      <c r="AB21" s="40">
        <f t="shared" si="5"/>
        <v>-0.17717492803813312</v>
      </c>
    </row>
    <row r="22" spans="1:28" x14ac:dyDescent="0.2">
      <c r="A22" s="30">
        <f>Parametri!$B$6+B22</f>
        <v>2043</v>
      </c>
      <c r="B22" s="31">
        <v>17</v>
      </c>
      <c r="C22" s="32">
        <f>C21*(1+Parametri!$B$14)</f>
        <v>25.225684388243529</v>
      </c>
      <c r="D22" s="32">
        <f>D21*(1+Parametri!$B$15)+Parametri!$B$18*(1-Parametri!$B$15)^B21</f>
        <v>18.044510644866637</v>
      </c>
      <c r="E22" s="33">
        <f t="shared" si="0"/>
        <v>0.71532293701717409</v>
      </c>
      <c r="F22" s="34">
        <f>F21*(1+Parametri!$B$20)</f>
        <v>2500.8156581419826</v>
      </c>
      <c r="G22" s="35">
        <f>G21*(1+Parametri!$B$22)</f>
        <v>26898.286435249076</v>
      </c>
      <c r="H22" s="34">
        <f t="shared" si="1"/>
        <v>419.88694900203893</v>
      </c>
      <c r="I22" s="36">
        <f>IF(B22&lt;=(Parametri!$B$35-Parametri!$B$6),Parametri!$B$32+(Parametri!$B$33-Parametri!$B$32)*B22/(Parametri!$B$35-Parametri!$B$6),Parametri!$B$33+(Parametri!$B$34-Parametri!$B$33)*(B22-(Parametri!$B$35-Parametri!$B$6))/(2070-Parametri!$B$35))</f>
        <v>0.16790000000000002</v>
      </c>
      <c r="J22" s="34">
        <f t="shared" si="2"/>
        <v>372.06695470203891</v>
      </c>
      <c r="K22" s="36">
        <f t="shared" si="3"/>
        <v>0.14877824100736456</v>
      </c>
      <c r="L22" s="36">
        <f>IF(B22&lt;=5,Parametri!$B$55+(Parametri!$B$56-Parametri!$B$55)/5*B22,MIN(Parametri!$B$57,Parametri!$B$56+(Parametri!$B$57-Parametri!$B$56)/24*(B22-5)))</f>
        <v>0.8</v>
      </c>
      <c r="M22" s="32">
        <f t="shared" si="4"/>
        <v>14.435608515893311</v>
      </c>
      <c r="N22" s="34">
        <f>IF(B22&lt;Parametri!$B$72,Parametri!$B$71*Parametri!$B$70*Parametri!$B$69/Parametri!$B$72,0)</f>
        <v>0</v>
      </c>
      <c r="O22" s="34">
        <f>IF(B22&lt;10,Parametri!$B$50,IF(B22&lt;20,Parametri!$B$53,Parametri!$B$54))*M22*G22*Parametri!$B$68/1000</f>
        <v>6.2903487501874293</v>
      </c>
      <c r="P22" s="34">
        <f>MIN(Parametri!$B$77+Parametri!$B$78,
Parametri!$B$77+Parametri!$B$78*(B22+1)/Parametri!$B$79)</f>
        <v>12.5</v>
      </c>
      <c r="Q22" s="34">
        <f>-IF(B22&lt;10,Parametri!$B$48,IF(B22&lt;20,Parametri!$B$51,Parametri!$B$54))*M22*G22/1000</f>
        <v>-23.297587963657143</v>
      </c>
      <c r="R22" s="34">
        <f>IF(B22&lt;10,Parametri!$B$49,IF(B22&lt;20,Parametri!$B$52,0))*M22*G22/1000</f>
        <v>0</v>
      </c>
      <c r="S22" s="37">
        <v>0</v>
      </c>
      <c r="T22" s="34">
        <f>-(Parametri!$B$82*(Parametri!$B$83*Parametri!$B$86+Parametri!$B$84*Parametri!$B$87+Parametri!$B$85*Parametri!$B$88)/1000000000)*MIN(B22+1,Parametri!$B$89)</f>
        <v>-2.9372500000000001</v>
      </c>
      <c r="U22" s="38">
        <f>Parametri!$B$45*Parametri!$B$92*13/1000000000*((B22+1)*Parametri!$B$117+B22*(B22+1)/2*Parametri!$B$118)</f>
        <v>47.819994299999998</v>
      </c>
      <c r="V22" s="34">
        <f>IF(B22&gt;=Parametri!$B$99-1,Parametri!$B$98,0)</f>
        <v>6</v>
      </c>
      <c r="W22" s="34">
        <f>IF(B22&gt;=Parametri!$B$101-1,Parametri!$B$100,0)</f>
        <v>5</v>
      </c>
      <c r="X22" s="34">
        <f>IF(B22&gt;=Parametri!$B$103-1,Parametri!$B$102,0)</f>
        <v>2.75</v>
      </c>
      <c r="Y22" s="34">
        <f>IF(B22&gt;=Parametri!$B$105-1,Parametri!$B$104,0)</f>
        <v>1</v>
      </c>
      <c r="Z22" s="39">
        <f t="shared" si="6"/>
        <v>55.125505086530282</v>
      </c>
      <c r="AA22" s="39">
        <f t="shared" si="7"/>
        <v>494.69081686028255</v>
      </c>
      <c r="AB22" s="40">
        <f t="shared" si="5"/>
        <v>-0.19781178802591964</v>
      </c>
    </row>
    <row r="23" spans="1:28" x14ac:dyDescent="0.2">
      <c r="A23" s="30">
        <f>Parametri!$B$6+B23</f>
        <v>2044</v>
      </c>
      <c r="B23" s="31">
        <v>18</v>
      </c>
      <c r="C23" s="32">
        <f>C22*(1+Parametri!$B$14)</f>
        <v>25.477941232125964</v>
      </c>
      <c r="D23" s="32">
        <f>D22*(1+Parametri!$B$15)+Parametri!$B$18*(1-Parametri!$B$15)^B22</f>
        <v>18.080552526458064</v>
      </c>
      <c r="E23" s="33">
        <f t="shared" si="0"/>
        <v>0.70965516254742389</v>
      </c>
      <c r="F23" s="34">
        <f>F22*(1+Parametri!$B$20)</f>
        <v>2520.8221834071182</v>
      </c>
      <c r="G23" s="35">
        <f>G22*(1+Parametri!$B$22)</f>
        <v>26952.083008119575</v>
      </c>
      <c r="H23" s="34">
        <f t="shared" si="1"/>
        <v>420.64119500453455</v>
      </c>
      <c r="I23" s="36">
        <f>IF(B23&lt;=(Parametri!$B$35-Parametri!$B$6),Parametri!$B$32+(Parametri!$B$33-Parametri!$B$32)*B23/(Parametri!$B$35-Parametri!$B$6),Parametri!$B$33+(Parametri!$B$34-Parametri!$B$33)*(B23-(Parametri!$B$35-Parametri!$B$6))/(2070-Parametri!$B$35))</f>
        <v>0.16686666666666669</v>
      </c>
      <c r="J23" s="34">
        <f t="shared" si="2"/>
        <v>368.34089630453457</v>
      </c>
      <c r="K23" s="36">
        <f t="shared" si="3"/>
        <v>0.14611934896839437</v>
      </c>
      <c r="L23" s="36">
        <f>IF(B23&lt;=5,Parametri!$B$55+(Parametri!$B$56-Parametri!$B$55)/5*B23,MIN(Parametri!$B$57,Parametri!$B$56+(Parametri!$B$57-Parametri!$B$56)/24*(B23-5)))</f>
        <v>0.81666666666666665</v>
      </c>
      <c r="M23" s="32">
        <f t="shared" si="4"/>
        <v>14.765784563274085</v>
      </c>
      <c r="N23" s="34">
        <f>IF(B23&lt;Parametri!$B$72,Parametri!$B$71*Parametri!$B$70*Parametri!$B$69/Parametri!$B$72,0)</f>
        <v>0</v>
      </c>
      <c r="O23" s="34">
        <f>IF(B23&lt;10,Parametri!$B$50,IF(B23&lt;20,Parametri!$B$53,Parametri!$B$54))*M23*G23*Parametri!$B$68/1000</f>
        <v>6.4470921499158553</v>
      </c>
      <c r="P23" s="34">
        <f>MIN(Parametri!$B$77+Parametri!$B$78,
Parametri!$B$77+Parametri!$B$78*(B23+1)/Parametri!$B$79)</f>
        <v>12.5</v>
      </c>
      <c r="Q23" s="34">
        <f>-IF(B23&lt;10,Parametri!$B$48,IF(B23&lt;20,Parametri!$B$51,Parametri!$B$54))*M23*G23/1000</f>
        <v>-23.878119073762427</v>
      </c>
      <c r="R23" s="34">
        <f>IF(B23&lt;10,Parametri!$B$49,IF(B23&lt;20,Parametri!$B$52,0))*M23*G23/1000</f>
        <v>0</v>
      </c>
      <c r="S23" s="37">
        <v>0</v>
      </c>
      <c r="T23" s="34">
        <f>-(Parametri!$B$82*(Parametri!$B$83*Parametri!$B$86+Parametri!$B$84*Parametri!$B$87+Parametri!$B$85*Parametri!$B$88)/1000000000)*MIN(B23+1,Parametri!$B$89)</f>
        <v>-2.9372500000000001</v>
      </c>
      <c r="U23" s="38">
        <f>Parametri!$B$45*Parametri!$B$92*13/1000000000*((B23+1)*Parametri!$B$117+B23*(B23+1)/2*Parametri!$B$118)</f>
        <v>52.300298699999992</v>
      </c>
      <c r="V23" s="34">
        <f>IF(B23&gt;=Parametri!$B$99-1,Parametri!$B$98,0)</f>
        <v>6</v>
      </c>
      <c r="W23" s="34">
        <f>IF(B23&gt;=Parametri!$B$101-1,Parametri!$B$100,0)</f>
        <v>5</v>
      </c>
      <c r="X23" s="34">
        <f>IF(B23&gt;=Parametri!$B$103-1,Parametri!$B$102,0)</f>
        <v>2.75</v>
      </c>
      <c r="Y23" s="34">
        <f>IF(B23&gt;=Parametri!$B$105-1,Parametri!$B$104,0)</f>
        <v>1</v>
      </c>
      <c r="Z23" s="39">
        <f t="shared" si="6"/>
        <v>59.18202177615342</v>
      </c>
      <c r="AA23" s="39">
        <f t="shared" si="7"/>
        <v>553.87283863643597</v>
      </c>
      <c r="AB23" s="40">
        <f t="shared" si="5"/>
        <v>-0.2197191227061589</v>
      </c>
    </row>
    <row r="24" spans="1:28" x14ac:dyDescent="0.2">
      <c r="A24" s="30">
        <f>Parametri!$B$6+B24</f>
        <v>2045</v>
      </c>
      <c r="B24" s="31">
        <v>19</v>
      </c>
      <c r="C24" s="32">
        <f>C23*(1+Parametri!$B$14)</f>
        <v>25.732720644447223</v>
      </c>
      <c r="D24" s="32">
        <f>D23*(1+Parametri!$B$15)+Parametri!$B$18*(1-Parametri!$B$15)^B23</f>
        <v>18.117045520815612</v>
      </c>
      <c r="E24" s="33">
        <f t="shared" si="0"/>
        <v>0.70404702911679995</v>
      </c>
      <c r="F24" s="34">
        <f>F23*(1+Parametri!$B$20)</f>
        <v>2540.9887608743752</v>
      </c>
      <c r="G24" s="35">
        <f>G23*(1+Parametri!$B$22)</f>
        <v>27005.987174135815</v>
      </c>
      <c r="H24" s="34">
        <f t="shared" si="1"/>
        <v>421.38063617833387</v>
      </c>
      <c r="I24" s="36">
        <f>IF(B24&lt;=(Parametri!$B$35-Parametri!$B$6),Parametri!$B$32+(Parametri!$B$33-Parametri!$B$32)*B24/(Parametri!$B$35-Parametri!$B$6),Parametri!$B$33+(Parametri!$B$34-Parametri!$B$33)*(B24-(Parametri!$B$35-Parametri!$B$6))/(2070-Parametri!$B$35))</f>
        <v>0.16583333333333333</v>
      </c>
      <c r="J24" s="34">
        <f t="shared" si="2"/>
        <v>364.4080711783339</v>
      </c>
      <c r="K24" s="36">
        <f t="shared" si="3"/>
        <v>0.14341191775005652</v>
      </c>
      <c r="L24" s="36">
        <f>IF(B24&lt;=5,Parametri!$B$55+(Parametri!$B$56-Parametri!$B$55)/5*B24,MIN(Parametri!$B$57,Parametri!$B$56+(Parametri!$B$57-Parametri!$B$56)/24*(B24-5)))</f>
        <v>0.83333333333333326</v>
      </c>
      <c r="M24" s="32">
        <f t="shared" si="4"/>
        <v>15.097537934013008</v>
      </c>
      <c r="N24" s="34">
        <f>IF(B24&lt;Parametri!$B$72,Parametri!$B$71*Parametri!$B$70*Parametri!$B$69/Parametri!$B$72,0)</f>
        <v>0</v>
      </c>
      <c r="O24" s="34">
        <f>IF(B24&lt;10,Parametri!$B$50,IF(B24&lt;20,Parametri!$B$53,Parametri!$B$54))*M24*G24*Parametri!$B$68/1000</f>
        <v>6.6051274360731451</v>
      </c>
      <c r="P24" s="34">
        <f>MIN(Parametri!$B$77+Parametri!$B$78,
Parametri!$B$77+Parametri!$B$78*(B24+1)/Parametri!$B$79)</f>
        <v>12.5</v>
      </c>
      <c r="Q24" s="34">
        <f>-IF(B24&lt;10,Parametri!$B$48,IF(B24&lt;20,Parametri!$B$51,Parametri!$B$54))*M24*G24/1000</f>
        <v>-24.463434948419053</v>
      </c>
      <c r="R24" s="34">
        <f>IF(B24&lt;10,Parametri!$B$49,IF(B24&lt;20,Parametri!$B$52,0))*M24*G24/1000</f>
        <v>0</v>
      </c>
      <c r="S24" s="37">
        <v>0</v>
      </c>
      <c r="T24" s="34">
        <f>-(Parametri!$B$82*(Parametri!$B$83*Parametri!$B$86+Parametri!$B$84*Parametri!$B$87+Parametri!$B$85*Parametri!$B$88)/1000000000)*MIN(B24+1,Parametri!$B$89)</f>
        <v>-2.9372500000000001</v>
      </c>
      <c r="U24" s="38">
        <f>Parametri!$B$45*Parametri!$B$92*13/1000000000*((B24+1)*Parametri!$B$117+B24*(B24+1)/2*Parametri!$B$118)</f>
        <v>56.972564999999996</v>
      </c>
      <c r="V24" s="34">
        <f>IF(B24&gt;=Parametri!$B$99-1,Parametri!$B$98,0)</f>
        <v>6</v>
      </c>
      <c r="W24" s="34">
        <f>IF(B24&gt;=Parametri!$B$101-1,Parametri!$B$100,0)</f>
        <v>5</v>
      </c>
      <c r="X24" s="34">
        <f>IF(B24&gt;=Parametri!$B$103-1,Parametri!$B$102,0)</f>
        <v>2.75</v>
      </c>
      <c r="Y24" s="34">
        <f>IF(B24&gt;=Parametri!$B$105-1,Parametri!$B$104,0)</f>
        <v>1</v>
      </c>
      <c r="Z24" s="39">
        <f t="shared" si="6"/>
        <v>63.427007487654087</v>
      </c>
      <c r="AA24" s="39">
        <f t="shared" si="7"/>
        <v>617.2998461240901</v>
      </c>
      <c r="AB24" s="40">
        <f t="shared" si="5"/>
        <v>-0.24293686600631484</v>
      </c>
    </row>
    <row r="25" spans="1:28" x14ac:dyDescent="0.2">
      <c r="A25" s="30">
        <f>Parametri!$B$6+B25</f>
        <v>2046</v>
      </c>
      <c r="B25" s="31">
        <v>20</v>
      </c>
      <c r="C25" s="32">
        <f>C24*(1+Parametri!$B$14)</f>
        <v>25.990047850891695</v>
      </c>
      <c r="D25" s="32">
        <f>D24*(1+Parametri!$B$15)+Parametri!$B$18*(1-Parametri!$B$15)^B24</f>
        <v>18.15399052898632</v>
      </c>
      <c r="E25" s="33">
        <f t="shared" si="0"/>
        <v>0.69849777242189548</v>
      </c>
      <c r="F25" s="34">
        <f>F24*(1+Parametri!$B$20)</f>
        <v>2561.3166709613702</v>
      </c>
      <c r="G25" s="35">
        <f>G24*(1+Parametri!$B$22)</f>
        <v>27059.999148484087</v>
      </c>
      <c r="H25" s="34">
        <f t="shared" si="1"/>
        <v>422.10498737443379</v>
      </c>
      <c r="I25" s="36">
        <f>IF(B25&lt;=(Parametri!$B$35-Parametri!$B$6),Parametri!$B$32+(Parametri!$B$33-Parametri!$B$32)*B25/(Parametri!$B$35-Parametri!$B$6),Parametri!$B$33+(Parametri!$B$34-Parametri!$B$33)*(B25-(Parametri!$B$35-Parametri!$B$6))/(2070-Parametri!$B$35))</f>
        <v>0.1648</v>
      </c>
      <c r="J25" s="34">
        <f t="shared" si="2"/>
        <v>360.2681941744338</v>
      </c>
      <c r="K25" s="36">
        <f t="shared" si="3"/>
        <v>0.14065741977902715</v>
      </c>
      <c r="L25" s="36">
        <f>IF(B25&lt;=5,Parametri!$B$55+(Parametri!$B$56-Parametri!$B$55)/5*B25,MIN(Parametri!$B$57,Parametri!$B$56+(Parametri!$B$57-Parametri!$B$56)/24*(B25-5)))</f>
        <v>0.85</v>
      </c>
      <c r="M25" s="32">
        <f t="shared" si="4"/>
        <v>15.430891949638372</v>
      </c>
      <c r="N25" s="34">
        <f>IF(B25&lt;Parametri!$B$72,Parametri!$B$71*Parametri!$B$70*Parametri!$B$69/Parametri!$B$72,0)</f>
        <v>0</v>
      </c>
      <c r="O25" s="34">
        <f>IF(B25&lt;10,Parametri!$B$50,IF(B25&lt;20,Parametri!$B$53,Parametri!$B$54))*M25*G25*Parametri!$B$68/1000</f>
        <v>9.0192943371793906</v>
      </c>
      <c r="P25" s="34">
        <f>MIN(Parametri!$B$77+Parametri!$B$78,
Parametri!$B$77+Parametri!$B$78*(B25+1)/Parametri!$B$79)</f>
        <v>12.5</v>
      </c>
      <c r="Q25" s="34">
        <f>-IF(B25&lt;10,Parametri!$B$48,IF(B25&lt;20,Parametri!$B$51,Parametri!$B$54))*M25*G25/1000</f>
        <v>-33.404793841405144</v>
      </c>
      <c r="R25" s="34">
        <f>IF(B25&lt;10,Parametri!$B$49,IF(B25&lt;20,Parametri!$B$52,0))*M25*G25/1000</f>
        <v>0</v>
      </c>
      <c r="S25" s="37">
        <v>0</v>
      </c>
      <c r="T25" s="34">
        <f>-(Parametri!$B$82*(Parametri!$B$83*Parametri!$B$86+Parametri!$B$84*Parametri!$B$87+Parametri!$B$85*Parametri!$B$88)/1000000000)*MIN(B25+1,Parametri!$B$89)</f>
        <v>-2.9372500000000001</v>
      </c>
      <c r="U25" s="38">
        <f>Parametri!$B$45*Parametri!$B$92*13/1000000000*((B25+1)*Parametri!$B$117+B25*(B25+1)/2*Parametri!$B$118)</f>
        <v>61.836793199999995</v>
      </c>
      <c r="V25" s="34">
        <f>IF(B25&gt;=Parametri!$B$99-1,Parametri!$B$98,0)</f>
        <v>6</v>
      </c>
      <c r="W25" s="34">
        <f>IF(B25&gt;=Parametri!$B$101-1,Parametri!$B$100,0)</f>
        <v>5</v>
      </c>
      <c r="X25" s="34">
        <f>IF(B25&gt;=Parametri!$B$103-1,Parametri!$B$102,0)</f>
        <v>2.75</v>
      </c>
      <c r="Y25" s="34">
        <f>IF(B25&gt;=Parametri!$B$105-1,Parametri!$B$104,0)</f>
        <v>1</v>
      </c>
      <c r="Z25" s="39">
        <f t="shared" si="6"/>
        <v>61.764043695774241</v>
      </c>
      <c r="AA25" s="39">
        <f t="shared" si="7"/>
        <v>679.06388981986436</v>
      </c>
      <c r="AB25" s="40">
        <f t="shared" si="5"/>
        <v>-0.26512297269551721</v>
      </c>
    </row>
    <row r="26" spans="1:28" x14ac:dyDescent="0.2">
      <c r="A26" s="30">
        <f>Parametri!$B$6+B26</f>
        <v>2047</v>
      </c>
      <c r="B26" s="31">
        <v>21</v>
      </c>
      <c r="C26" s="32">
        <f>C25*(1+Parametri!$B$14)</f>
        <v>26.249948329400613</v>
      </c>
      <c r="D26" s="32">
        <f>D25*(1+Parametri!$B$15)+Parametri!$B$18*(1-Parametri!$B$15)^B25</f>
        <v>18.191388463295052</v>
      </c>
      <c r="E26" s="33">
        <f t="shared" si="0"/>
        <v>0.69300663890908432</v>
      </c>
      <c r="F26" s="34">
        <f>F25*(1+Parametri!$B$20)</f>
        <v>2581.8072043290613</v>
      </c>
      <c r="G26" s="35">
        <f>G25*(1+Parametri!$B$22)</f>
        <v>27114.119146781053</v>
      </c>
      <c r="H26" s="34">
        <f t="shared" si="1"/>
        <v>422.81395982895594</v>
      </c>
      <c r="I26" s="36">
        <f>IF(B26&lt;=(Parametri!$B$35-Parametri!$B$6),Parametri!$B$32+(Parametri!$B$33-Parametri!$B$32)*B26/(Parametri!$B$35-Parametri!$B$6),Parametri!$B$33+(Parametri!$B$34-Parametri!$B$33)*(B26-(Parametri!$B$35-Parametri!$B$6))/(2070-Parametri!$B$35))</f>
        <v>0.16376666666666667</v>
      </c>
      <c r="J26" s="34">
        <f t="shared" si="2"/>
        <v>355.92097652895598</v>
      </c>
      <c r="K26" s="36">
        <f t="shared" si="3"/>
        <v>0.13785730240901151</v>
      </c>
      <c r="L26" s="36">
        <f>IF(B26&lt;=5,Parametri!$B$55+(Parametri!$B$56-Parametri!$B$55)/5*B26,MIN(Parametri!$B$57,Parametri!$B$56+(Parametri!$B$57-Parametri!$B$56)/24*(B26-5)))</f>
        <v>0.8666666666666667</v>
      </c>
      <c r="M26" s="32">
        <f t="shared" si="4"/>
        <v>15.765870001522378</v>
      </c>
      <c r="N26" s="34">
        <f>IF(B26&lt;Parametri!$B$72,Parametri!$B$71*Parametri!$B$70*Parametri!$B$69/Parametri!$B$72,0)</f>
        <v>0</v>
      </c>
      <c r="O26" s="34">
        <f>IF(B26&lt;10,Parametri!$B$50,IF(B26&lt;20,Parametri!$B$53,Parametri!$B$54))*M26*G26*Parametri!$B$68/1000</f>
        <v>9.2335178377570823</v>
      </c>
      <c r="P26" s="34">
        <f>MIN(Parametri!$B$77+Parametri!$B$78,
Parametri!$B$77+Parametri!$B$78*(B26+1)/Parametri!$B$79)</f>
        <v>12.5</v>
      </c>
      <c r="Q26" s="34">
        <f>-IF(B26&lt;10,Parametri!$B$48,IF(B26&lt;20,Parametri!$B$51,Parametri!$B$54))*M26*G26/1000</f>
        <v>-34.198214213915115</v>
      </c>
      <c r="R26" s="34">
        <f>IF(B26&lt;10,Parametri!$B$49,IF(B26&lt;20,Parametri!$B$52,0))*M26*G26/1000</f>
        <v>0</v>
      </c>
      <c r="S26" s="37">
        <v>0</v>
      </c>
      <c r="T26" s="34">
        <f>-(Parametri!$B$82*(Parametri!$B$83*Parametri!$B$86+Parametri!$B$84*Parametri!$B$87+Parametri!$B$85*Parametri!$B$88)/1000000000)*MIN(B26+1,Parametri!$B$89)</f>
        <v>-2.9372500000000001</v>
      </c>
      <c r="U26" s="38">
        <f>Parametri!$B$45*Parametri!$B$92*13/1000000000*((B26+1)*Parametri!$B$117+B26*(B26+1)/2*Parametri!$B$118)</f>
        <v>66.892983299999997</v>
      </c>
      <c r="V26" s="34">
        <f>IF(B26&gt;=Parametri!$B$99-1,Parametri!$B$98,0)</f>
        <v>6</v>
      </c>
      <c r="W26" s="34">
        <f>IF(B26&gt;=Parametri!$B$101-1,Parametri!$B$100,0)</f>
        <v>5</v>
      </c>
      <c r="X26" s="34">
        <f>IF(B26&gt;=Parametri!$B$103-1,Parametri!$B$102,0)</f>
        <v>2.75</v>
      </c>
      <c r="Y26" s="34">
        <f>IF(B26&gt;=Parametri!$B$105-1,Parametri!$B$104,0)</f>
        <v>1</v>
      </c>
      <c r="Z26" s="39">
        <f t="shared" si="6"/>
        <v>66.241036923841961</v>
      </c>
      <c r="AA26" s="39">
        <f t="shared" si="7"/>
        <v>745.30492674370635</v>
      </c>
      <c r="AB26" s="40">
        <f t="shared" si="5"/>
        <v>-0.28867567086109747</v>
      </c>
    </row>
    <row r="27" spans="1:28" x14ac:dyDescent="0.2">
      <c r="A27" s="30">
        <f>Parametri!$B$6+B27</f>
        <v>2048</v>
      </c>
      <c r="B27" s="31">
        <v>22</v>
      </c>
      <c r="C27" s="32">
        <f>C26*(1+Parametri!$B$14)</f>
        <v>26.512447812694621</v>
      </c>
      <c r="D27" s="32">
        <f>D26*(1+Parametri!$B$15)+Parametri!$B$18*(1-Parametri!$B$15)^B26</f>
        <v>18.229240247367006</v>
      </c>
      <c r="E27" s="33">
        <f t="shared" si="0"/>
        <v>0.68757288561784657</v>
      </c>
      <c r="F27" s="34">
        <f>F26*(1+Parametri!$B$20)</f>
        <v>2602.4616619636936</v>
      </c>
      <c r="G27" s="35">
        <f>G26*(1+Parametri!$B$22)</f>
        <v>27168.347385074616</v>
      </c>
      <c r="H27" s="34">
        <f t="shared" si="1"/>
        <v>423.50726112355841</v>
      </c>
      <c r="I27" s="36">
        <f>IF(B27&lt;=(Parametri!$B$35-Parametri!$B$6),Parametri!$B$32+(Parametri!$B$33-Parametri!$B$32)*B27/(Parametri!$B$35-Parametri!$B$6),Parametri!$B$33+(Parametri!$B$34-Parametri!$B$33)*(B27-(Parametri!$B$35-Parametri!$B$6))/(2070-Parametri!$B$35))</f>
        <v>0.16273333333333334</v>
      </c>
      <c r="J27" s="34">
        <f t="shared" si="2"/>
        <v>351.36612582355838</v>
      </c>
      <c r="K27" s="36">
        <f t="shared" si="3"/>
        <v>0.13501298826374805</v>
      </c>
      <c r="L27" s="36">
        <f>IF(B27&lt;=5,Parametri!$B$55+(Parametri!$B$56-Parametri!$B$55)/5*B27,MIN(Parametri!$B$57,Parametri!$B$56+(Parametri!$B$57-Parametri!$B$56)/24*(B27-5)))</f>
        <v>0.8833333333333333</v>
      </c>
      <c r="M27" s="32">
        <f t="shared" si="4"/>
        <v>16.102495551840853</v>
      </c>
      <c r="N27" s="34">
        <f>IF(B27&lt;Parametri!$B$72,Parametri!$B$71*Parametri!$B$70*Parametri!$B$69/Parametri!$B$72,0)</f>
        <v>0</v>
      </c>
      <c r="O27" s="34">
        <f>IF(B27&lt;10,Parametri!$B$50,IF(B27&lt;20,Parametri!$B$53,Parametri!$B$54))*M27*G27*Parametri!$B$68/1000</f>
        <v>9.4495289670510711</v>
      </c>
      <c r="P27" s="34">
        <f>MIN(Parametri!$B$77+Parametri!$B$78,
Parametri!$B$77+Parametri!$B$78*(B27+1)/Parametri!$B$79)</f>
        <v>12.5</v>
      </c>
      <c r="Q27" s="34">
        <f>-IF(B27&lt;10,Parametri!$B$48,IF(B27&lt;20,Parametri!$B$51,Parametri!$B$54))*M27*G27/1000</f>
        <v>-34.998255433522488</v>
      </c>
      <c r="R27" s="34">
        <f>IF(B27&lt;10,Parametri!$B$49,IF(B27&lt;20,Parametri!$B$52,0))*M27*G27/1000</f>
        <v>0</v>
      </c>
      <c r="S27" s="37">
        <v>0</v>
      </c>
      <c r="T27" s="34">
        <f>-(Parametri!$B$82*(Parametri!$B$83*Parametri!$B$86+Parametri!$B$84*Parametri!$B$87+Parametri!$B$85*Parametri!$B$88)/1000000000)*MIN(B27+1,Parametri!$B$89)</f>
        <v>-2.9372500000000001</v>
      </c>
      <c r="U27" s="38">
        <f>Parametri!$B$45*Parametri!$B$92*13/1000000000*((B27+1)*Parametri!$B$117+B27*(B27+1)/2*Parametri!$B$118)</f>
        <v>72.141135300000002</v>
      </c>
      <c r="V27" s="34">
        <f>IF(B27&gt;=Parametri!$B$99-1,Parametri!$B$98,0)</f>
        <v>6</v>
      </c>
      <c r="W27" s="34">
        <f>IF(B27&gt;=Parametri!$B$101-1,Parametri!$B$100,0)</f>
        <v>5</v>
      </c>
      <c r="X27" s="34">
        <f>IF(B27&gt;=Parametri!$B$103-1,Parametri!$B$102,0)</f>
        <v>2.75</v>
      </c>
      <c r="Y27" s="34">
        <f>IF(B27&gt;=Parametri!$B$105-1,Parametri!$B$104,0)</f>
        <v>1</v>
      </c>
      <c r="Z27" s="39">
        <f t="shared" si="6"/>
        <v>70.905158833528589</v>
      </c>
      <c r="AA27" s="39">
        <f t="shared" si="7"/>
        <v>816.21008557723496</v>
      </c>
      <c r="AB27" s="40">
        <f t="shared" si="5"/>
        <v>-0.31363001327034407</v>
      </c>
    </row>
    <row r="28" spans="1:28" x14ac:dyDescent="0.2">
      <c r="A28" s="30">
        <f>Parametri!$B$6+B28</f>
        <v>2049</v>
      </c>
      <c r="B28" s="31">
        <v>23</v>
      </c>
      <c r="C28" s="32">
        <f>C27*(1+Parametri!$B$14)</f>
        <v>26.777572290821567</v>
      </c>
      <c r="D28" s="32">
        <f>D27*(1+Parametri!$B$15)+Parametri!$B$18*(1-Parametri!$B$15)^B27</f>
        <v>18.267546816150542</v>
      </c>
      <c r="E28" s="33">
        <f t="shared" si="0"/>
        <v>0.68219578002640779</v>
      </c>
      <c r="F28" s="34">
        <f>F27*(1+Parametri!$B$20)</f>
        <v>2623.281355259403</v>
      </c>
      <c r="G28" s="35">
        <f>G27*(1+Parametri!$B$22)</f>
        <v>27222.684079844767</v>
      </c>
      <c r="H28" s="34">
        <f t="shared" si="1"/>
        <v>424.18459514544548</v>
      </c>
      <c r="I28" s="36">
        <f>IF(B28&lt;=(Parametri!$B$35-Parametri!$B$6),Parametri!$B$32+(Parametri!$B$33-Parametri!$B$32)*B28/(Parametri!$B$35-Parametri!$B$6),Parametri!$B$33+(Parametri!$B$34-Parametri!$B$33)*(B28-(Parametri!$B$35-Parametri!$B$6))/(2070-Parametri!$B$35))</f>
        <v>0.16170000000000001</v>
      </c>
      <c r="J28" s="34">
        <f t="shared" si="2"/>
        <v>346.60334594544548</v>
      </c>
      <c r="K28" s="36">
        <f t="shared" si="3"/>
        <v>0.13212587557584787</v>
      </c>
      <c r="L28" s="36">
        <f>IF(B28&lt;=5,Parametri!$B$55+(Parametri!$B$56-Parametri!$B$55)/5*B28,MIN(Parametri!$B$57,Parametri!$B$56+(Parametri!$B$57-Parametri!$B$56)/24*(B28-5)))</f>
        <v>0.89999999999999991</v>
      </c>
      <c r="M28" s="32">
        <f t="shared" si="4"/>
        <v>16.440792134535485</v>
      </c>
      <c r="N28" s="34">
        <f>IF(B28&lt;Parametri!$B$72,Parametri!$B$71*Parametri!$B$70*Parametri!$B$69/Parametri!$B$72,0)</f>
        <v>0</v>
      </c>
      <c r="O28" s="34">
        <f>IF(B28&lt;10,Parametri!$B$50,IF(B28&lt;20,Parametri!$B$53,Parametri!$B$54))*M28*G28*Parametri!$B$68/1000</f>
        <v>9.6673497904984949</v>
      </c>
      <c r="P28" s="34">
        <f>MIN(Parametri!$B$77+Parametri!$B$78,
Parametri!$B$77+Parametri!$B$78*(B28+1)/Parametri!$B$79)</f>
        <v>12.5</v>
      </c>
      <c r="Q28" s="34">
        <f>-IF(B28&lt;10,Parametri!$B$48,IF(B28&lt;20,Parametri!$B$51,Parametri!$B$54))*M28*G28/1000</f>
        <v>-35.804999224068496</v>
      </c>
      <c r="R28" s="34">
        <f>IF(B28&lt;10,Parametri!$B$49,IF(B28&lt;20,Parametri!$B$52,0))*M28*G28/1000</f>
        <v>0</v>
      </c>
      <c r="S28" s="37">
        <v>0</v>
      </c>
      <c r="T28" s="34">
        <f>-(Parametri!$B$82*(Parametri!$B$83*Parametri!$B$86+Parametri!$B$84*Parametri!$B$87+Parametri!$B$85*Parametri!$B$88)/1000000000)*MIN(B28+1,Parametri!$B$89)</f>
        <v>-2.9372500000000001</v>
      </c>
      <c r="U28" s="38">
        <f>Parametri!$B$45*Parametri!$B$92*13/1000000000*((B28+1)*Parametri!$B$117+B28*(B28+1)/2*Parametri!$B$118)</f>
        <v>77.581249199999988</v>
      </c>
      <c r="V28" s="34">
        <f>IF(B28&gt;=Parametri!$B$99-1,Parametri!$B$98,0)</f>
        <v>6</v>
      </c>
      <c r="W28" s="34">
        <f>IF(B28&gt;=Parametri!$B$101-1,Parametri!$B$100,0)</f>
        <v>5</v>
      </c>
      <c r="X28" s="34">
        <f>IF(B28&gt;=Parametri!$B$103-1,Parametri!$B$102,0)</f>
        <v>2.75</v>
      </c>
      <c r="Y28" s="34">
        <f>IF(B28&gt;=Parametri!$B$105-1,Parametri!$B$104,0)</f>
        <v>1</v>
      </c>
      <c r="Z28" s="39">
        <f t="shared" si="6"/>
        <v>75.756349766429992</v>
      </c>
      <c r="AA28" s="39">
        <f t="shared" si="7"/>
        <v>891.9664353436649</v>
      </c>
      <c r="AB28" s="40">
        <f t="shared" si="5"/>
        <v>-0.34001935536017364</v>
      </c>
    </row>
    <row r="29" spans="1:28" x14ac:dyDescent="0.2">
      <c r="A29" s="30">
        <f>Parametri!$B$6+B29</f>
        <v>2050</v>
      </c>
      <c r="B29" s="31">
        <v>24</v>
      </c>
      <c r="C29" s="32">
        <f>C28*(1+Parametri!$B$14)</f>
        <v>27.045348013729782</v>
      </c>
      <c r="D29" s="32">
        <f>D28*(1+Parametri!$B$15)+Parametri!$B$18*(1-Parametri!$B$15)^B28</f>
        <v>18.306309115940262</v>
      </c>
      <c r="E29" s="33">
        <f t="shared" si="0"/>
        <v>0.67687459989965448</v>
      </c>
      <c r="F29" s="34">
        <f>F28*(1+Parametri!$B$20)</f>
        <v>2644.2676061014781</v>
      </c>
      <c r="G29" s="35">
        <f>G28*(1+Parametri!$B$22)</f>
        <v>27277.129448004456</v>
      </c>
      <c r="H29" s="34">
        <f t="shared" si="1"/>
        <v>424.84566204697086</v>
      </c>
      <c r="I29" s="36">
        <f>IF(B29&lt;=(Parametri!$B$35-Parametri!$B$6),Parametri!$B$32+(Parametri!$B$33-Parametri!$B$32)*B29/(Parametri!$B$35-Parametri!$B$6),Parametri!$B$33+(Parametri!$B$34-Parametri!$B$33)*(B29-(Parametri!$B$35-Parametri!$B$6))/(2070-Parametri!$B$35))</f>
        <v>0.16066666666666668</v>
      </c>
      <c r="J29" s="34">
        <f t="shared" si="2"/>
        <v>341.63233704697086</v>
      </c>
      <c r="K29" s="36">
        <f t="shared" si="3"/>
        <v>0.1291973385215158</v>
      </c>
      <c r="L29" s="36">
        <f>IF(B29&lt;=5,Parametri!$B$55+(Parametri!$B$56-Parametri!$B$55)/5*B29,MIN(Parametri!$B$57,Parametri!$B$56+(Parametri!$B$57-Parametri!$B$56)/24*(B29-5)))</f>
        <v>0.91666666666666663</v>
      </c>
      <c r="M29" s="32">
        <f t="shared" si="4"/>
        <v>16.780783356278572</v>
      </c>
      <c r="N29" s="34">
        <f>IF(B29&lt;Parametri!$B$72,Parametri!$B$71*Parametri!$B$70*Parametri!$B$69/Parametri!$B$72,0)</f>
        <v>0</v>
      </c>
      <c r="O29" s="34">
        <f>IF(B29&lt;10,Parametri!$B$50,IF(B29&lt;20,Parametri!$B$53,Parametri!$B$54))*M29*G29*Parametri!$B$68/1000</f>
        <v>9.8870025567195938</v>
      </c>
      <c r="P29" s="34">
        <f>MIN(Parametri!$B$77+Parametri!$B$78,
Parametri!$B$77+Parametri!$B$78*(B29+1)/Parametri!$B$79)</f>
        <v>12.5</v>
      </c>
      <c r="Q29" s="34">
        <f>-IF(B29&lt;10,Parametri!$B$48,IF(B29&lt;20,Parametri!$B$51,Parametri!$B$54))*M29*G29/1000</f>
        <v>-36.618527987850342</v>
      </c>
      <c r="R29" s="34">
        <f>IF(B29&lt;10,Parametri!$B$49,IF(B29&lt;20,Parametri!$B$52,0))*M29*G29/1000</f>
        <v>0</v>
      </c>
      <c r="S29" s="37">
        <v>0</v>
      </c>
      <c r="T29" s="34">
        <f>-(Parametri!$B$82*(Parametri!$B$83*Parametri!$B$86+Parametri!$B$84*Parametri!$B$87+Parametri!$B$85*Parametri!$B$88)/1000000000)*MIN(B29+1,Parametri!$B$89)</f>
        <v>-2.9372500000000001</v>
      </c>
      <c r="U29" s="38">
        <f>Parametri!$B$45*Parametri!$B$92*13/1000000000*((B29+1)*Parametri!$B$117+B29*(B29+1)/2*Parametri!$B$118)</f>
        <v>83.213324999999998</v>
      </c>
      <c r="V29" s="34">
        <f>IF(B29&gt;=Parametri!$B$99-1,Parametri!$B$98,0)</f>
        <v>6</v>
      </c>
      <c r="W29" s="34">
        <f>IF(B29&gt;=Parametri!$B$101-1,Parametri!$B$100,0)</f>
        <v>5</v>
      </c>
      <c r="X29" s="34">
        <f>IF(B29&gt;=Parametri!$B$103-1,Parametri!$B$102,0)</f>
        <v>2.75</v>
      </c>
      <c r="Y29" s="34">
        <f>IF(B29&gt;=Parametri!$B$105-1,Parametri!$B$104,0)</f>
        <v>1</v>
      </c>
      <c r="Z29" s="39">
        <f t="shared" si="6"/>
        <v>80.794549568869257</v>
      </c>
      <c r="AA29" s="39">
        <f t="shared" si="7"/>
        <v>972.76098491253413</v>
      </c>
      <c r="AB29" s="40">
        <f t="shared" si="5"/>
        <v>-0.36787539304567757</v>
      </c>
    </row>
    <row r="30" spans="1:28" x14ac:dyDescent="0.2">
      <c r="A30" s="30">
        <f>Parametri!$B$6+B30</f>
        <v>2051</v>
      </c>
      <c r="B30" s="31">
        <v>25</v>
      </c>
      <c r="C30" s="32">
        <f>C29*(1+Parametri!$B$14)</f>
        <v>27.315801493867081</v>
      </c>
      <c r="D30" s="32">
        <f>D29*(1+Parametri!$B$15)+Parametri!$B$18*(1-Parametri!$B$15)^B29</f>
        <v>18.345528104400387</v>
      </c>
      <c r="E30" s="33">
        <f t="shared" si="0"/>
        <v>0.6716086331392952</v>
      </c>
      <c r="F30" s="34">
        <f>F29*(1+Parametri!$B$20)</f>
        <v>2665.4217469502901</v>
      </c>
      <c r="G30" s="35">
        <f>G29*(1+Parametri!$B$22)</f>
        <v>27331.683706900465</v>
      </c>
      <c r="H30" s="34">
        <f t="shared" si="1"/>
        <v>425.49015820483135</v>
      </c>
      <c r="I30" s="36">
        <f>IF(B30&lt;=(Parametri!$B$35-Parametri!$B$6),Parametri!$B$32+(Parametri!$B$33-Parametri!$B$32)*B30/(Parametri!$B$35-Parametri!$B$6),Parametri!$B$33+(Parametri!$B$34-Parametri!$B$33)*(B30-(Parametri!$B$35-Parametri!$B$6))/(2070-Parametri!$B$35))</f>
        <v>0.15963333333333335</v>
      </c>
      <c r="J30" s="34">
        <f t="shared" si="2"/>
        <v>336.45279550483133</v>
      </c>
      <c r="K30" s="36">
        <f t="shared" si="3"/>
        <v>0.12622872755119985</v>
      </c>
      <c r="L30" s="36">
        <f>IF(B30&lt;=5,Parametri!$B$55+(Parametri!$B$56-Parametri!$B$55)/5*B30,MIN(Parametri!$B$57,Parametri!$B$56+(Parametri!$B$57-Parametri!$B$56)/24*(B30-5)))</f>
        <v>0.93333333333333335</v>
      </c>
      <c r="M30" s="32">
        <f t="shared" si="4"/>
        <v>17.12249289744036</v>
      </c>
      <c r="N30" s="34">
        <f>IF(B30&lt;Parametri!$B$72,Parametri!$B$71*Parametri!$B$70*Parametri!$B$69/Parametri!$B$72,0)</f>
        <v>0</v>
      </c>
      <c r="O30" s="34">
        <f>IF(B30&lt;10,Parametri!$B$50,IF(B30&lt;20,Parametri!$B$53,Parametri!$B$54))*M30*G30*Parametri!$B$68/1000</f>
        <v>10.108509699164179</v>
      </c>
      <c r="P30" s="34">
        <f>MIN(Parametri!$B$77+Parametri!$B$78,
Parametri!$B$77+Parametri!$B$78*(B30+1)/Parametri!$B$79)</f>
        <v>12.5</v>
      </c>
      <c r="Q30" s="34">
        <f>-IF(B30&lt;10,Parametri!$B$48,IF(B30&lt;20,Parametri!$B$51,Parametri!$B$54))*M30*G30/1000</f>
        <v>-37.438924811719176</v>
      </c>
      <c r="R30" s="34">
        <f>IF(B30&lt;10,Parametri!$B$49,IF(B30&lt;20,Parametri!$B$52,0))*M30*G30/1000</f>
        <v>0</v>
      </c>
      <c r="S30" s="37">
        <v>0</v>
      </c>
      <c r="T30" s="34">
        <f>-(Parametri!$B$82*(Parametri!$B$83*Parametri!$B$86+Parametri!$B$84*Parametri!$B$87+Parametri!$B$85*Parametri!$B$88)/1000000000)*MIN(B30+1,Parametri!$B$89)</f>
        <v>-2.9372500000000001</v>
      </c>
      <c r="U30" s="38">
        <f>Parametri!$B$45*Parametri!$B$92*13/1000000000*((B30+1)*Parametri!$B$117+B30*(B30+1)/2*Parametri!$B$118)</f>
        <v>89.037362699999989</v>
      </c>
      <c r="V30" s="34">
        <f>IF(B30&gt;=Parametri!$B$99-1,Parametri!$B$98,0)</f>
        <v>6</v>
      </c>
      <c r="W30" s="34">
        <f>IF(B30&gt;=Parametri!$B$101-1,Parametri!$B$100,0)</f>
        <v>5</v>
      </c>
      <c r="X30" s="34">
        <f>IF(B30&gt;=Parametri!$B$103-1,Parametri!$B$102,0)</f>
        <v>2.75</v>
      </c>
      <c r="Y30" s="34">
        <f>IF(B30&gt;=Parametri!$B$105-1,Parametri!$B$104,0)</f>
        <v>1</v>
      </c>
      <c r="Z30" s="39">
        <f t="shared" si="6"/>
        <v>86.019697587444995</v>
      </c>
      <c r="AA30" s="39">
        <f t="shared" si="7"/>
        <v>1058.7806824999791</v>
      </c>
      <c r="AB30" s="40">
        <f t="shared" si="5"/>
        <v>-0.39722819989422309</v>
      </c>
    </row>
    <row r="31" spans="1:28" x14ac:dyDescent="0.2">
      <c r="A31" s="30">
        <f>Parametri!$B$6+B31</f>
        <v>2052</v>
      </c>
      <c r="B31" s="31">
        <v>26</v>
      </c>
      <c r="C31" s="32">
        <f>C30*(1+Parametri!$B$14)</f>
        <v>27.58895950880575</v>
      </c>
      <c r="D31" s="32">
        <f>D30*(1+Parametri!$B$15)+Parametri!$B$18*(1-Parametri!$B$15)^B30</f>
        <v>18.385204750588407</v>
      </c>
      <c r="E31" s="33">
        <f t="shared" si="0"/>
        <v>0.66639717763623085</v>
      </c>
      <c r="F31" s="34">
        <f>F30*(1+Parametri!$B$20)</f>
        <v>2686.7451209258925</v>
      </c>
      <c r="G31" s="35">
        <f>G30*(1+Parametri!$B$22)</f>
        <v>27386.347074314264</v>
      </c>
      <c r="H31" s="34">
        <f t="shared" si="1"/>
        <v>426.11777617884661</v>
      </c>
      <c r="I31" s="36">
        <f>IF(B31&lt;=(Parametri!$B$35-Parametri!$B$6),Parametri!$B$32+(Parametri!$B$33-Parametri!$B$32)*B31/(Parametri!$B$35-Parametri!$B$6),Parametri!$B$33+(Parametri!$B$34-Parametri!$B$33)*(B31-(Parametri!$B$35-Parametri!$B$6))/(2070-Parametri!$B$35))</f>
        <v>0.15860000000000002</v>
      </c>
      <c r="J31" s="34">
        <f t="shared" si="2"/>
        <v>331.06441387884661</v>
      </c>
      <c r="K31" s="36">
        <f t="shared" si="3"/>
        <v>0.12322136971621517</v>
      </c>
      <c r="L31" s="36">
        <f>IF(B31&lt;=5,Parametri!$B$55+(Parametri!$B$56-Parametri!$B$55)/5*B31,MIN(Parametri!$B$57,Parametri!$B$56+(Parametri!$B$57-Parametri!$B$56)/24*(B31-5)))</f>
        <v>0.95</v>
      </c>
      <c r="M31" s="32">
        <f t="shared" si="4"/>
        <v>17.465944513058986</v>
      </c>
      <c r="N31" s="34">
        <f>IF(B31&lt;Parametri!$B$72,Parametri!$B$71*Parametri!$B$70*Parametri!$B$69/Parametri!$B$72,0)</f>
        <v>0</v>
      </c>
      <c r="O31" s="34">
        <f>IF(B31&lt;10,Parametri!$B$50,IF(B31&lt;20,Parametri!$B$53,Parametri!$B$54))*M31*G31*Parametri!$B$68/1000</f>
        <v>10.331893837771524</v>
      </c>
      <c r="P31" s="34">
        <f>MIN(Parametri!$B$77+Parametri!$B$78,
Parametri!$B$77+Parametri!$B$78*(B31+1)/Parametri!$B$79)</f>
        <v>12.5</v>
      </c>
      <c r="Q31" s="34">
        <f>-IF(B31&lt;10,Parametri!$B$48,IF(B31&lt;20,Parametri!$B$51,Parametri!$B$54))*M31*G31/1000</f>
        <v>-38.266273473227862</v>
      </c>
      <c r="R31" s="34">
        <f>IF(B31&lt;10,Parametri!$B$49,IF(B31&lt;20,Parametri!$B$52,0))*M31*G31/1000</f>
        <v>0</v>
      </c>
      <c r="S31" s="37">
        <v>0</v>
      </c>
      <c r="T31" s="34">
        <f>-(Parametri!$B$82*(Parametri!$B$83*Parametri!$B$86+Parametri!$B$84*Parametri!$B$87+Parametri!$B$85*Parametri!$B$88)/1000000000)*MIN(B31+1,Parametri!$B$89)</f>
        <v>-2.9372500000000001</v>
      </c>
      <c r="U31" s="38">
        <f>Parametri!$B$45*Parametri!$B$92*13/1000000000*((B31+1)*Parametri!$B$117+B31*(B31+1)/2*Parametri!$B$118)</f>
        <v>95.053362299999989</v>
      </c>
      <c r="V31" s="34">
        <f>IF(B31&gt;=Parametri!$B$99-1,Parametri!$B$98,0)</f>
        <v>6</v>
      </c>
      <c r="W31" s="34">
        <f>IF(B31&gt;=Parametri!$B$101-1,Parametri!$B$100,0)</f>
        <v>5</v>
      </c>
      <c r="X31" s="34">
        <f>IF(B31&gt;=Parametri!$B$103-1,Parametri!$B$102,0)</f>
        <v>2.75</v>
      </c>
      <c r="Y31" s="34">
        <f>IF(B31&gt;=Parametri!$B$105-1,Parametri!$B$104,0)</f>
        <v>1</v>
      </c>
      <c r="Z31" s="39">
        <f t="shared" si="6"/>
        <v>91.431732664543659</v>
      </c>
      <c r="AA31" s="39">
        <f t="shared" si="7"/>
        <v>1150.2124151645228</v>
      </c>
      <c r="AB31" s="40">
        <f t="shared" si="5"/>
        <v>-0.42810626367421944</v>
      </c>
    </row>
    <row r="32" spans="1:28" x14ac:dyDescent="0.2">
      <c r="A32" s="30">
        <f>Parametri!$B$6+B32</f>
        <v>2053</v>
      </c>
      <c r="B32" s="31">
        <v>27</v>
      </c>
      <c r="C32" s="32">
        <f>C31*(1+Parametri!$B$14)</f>
        <v>27.864849103893807</v>
      </c>
      <c r="D32" s="32">
        <f>D31*(1+Parametri!$B$15)+Parametri!$B$18*(1-Parametri!$B$15)^B31</f>
        <v>18.425340034979037</v>
      </c>
      <c r="E32" s="33">
        <f t="shared" si="0"/>
        <v>0.66123954112510508</v>
      </c>
      <c r="F32" s="34">
        <f>F31*(1+Parametri!$B$20)</f>
        <v>2708.2390818932995</v>
      </c>
      <c r="G32" s="35">
        <f>G31*(1+Parametri!$B$22)</f>
        <v>27441.119768462893</v>
      </c>
      <c r="H32" s="34">
        <f t="shared" si="1"/>
        <v>426.72820467032096</v>
      </c>
      <c r="I32" s="36">
        <f>IF(B32&lt;=(Parametri!$B$35-Parametri!$B$6),Parametri!$B$32+(Parametri!$B$33-Parametri!$B$32)*B32/(Parametri!$B$35-Parametri!$B$6),Parametri!$B$33+(Parametri!$B$34-Parametri!$B$33)*(B32-(Parametri!$B$35-Parametri!$B$6))/(2070-Parametri!$B$35))</f>
        <v>0.15756666666666669</v>
      </c>
      <c r="J32" s="34">
        <f t="shared" si="2"/>
        <v>325.46688087032095</v>
      </c>
      <c r="K32" s="36">
        <f t="shared" si="3"/>
        <v>0.12017656899138709</v>
      </c>
      <c r="L32" s="36">
        <f>IF(B32&lt;=5,Parametri!$B$55+(Parametri!$B$56-Parametri!$B$55)/5*B32,MIN(Parametri!$B$57,Parametri!$B$56+(Parametri!$B$57-Parametri!$B$56)/24*(B32-5)))</f>
        <v>0.96666666666666656</v>
      </c>
      <c r="M32" s="32">
        <f t="shared" si="4"/>
        <v>17.811162033813066</v>
      </c>
      <c r="N32" s="34">
        <f>IF(B32&lt;Parametri!$B$72,Parametri!$B$71*Parametri!$B$70*Parametri!$B$69/Parametri!$B$72,0)</f>
        <v>0</v>
      </c>
      <c r="O32" s="34">
        <f>IF(B32&lt;10,Parametri!$B$50,IF(B32&lt;20,Parametri!$B$53,Parametri!$B$54))*M32*G32*Parametri!$B$68/1000</f>
        <v>10.557177780643851</v>
      </c>
      <c r="P32" s="34">
        <f>MIN(Parametri!$B$77+Parametri!$B$78,
Parametri!$B$77+Parametri!$B$78*(B32+1)/Parametri!$B$79)</f>
        <v>12.5</v>
      </c>
      <c r="Q32" s="34">
        <f>-IF(B32&lt;10,Parametri!$B$48,IF(B32&lt;20,Parametri!$B$51,Parametri!$B$54))*M32*G32/1000</f>
        <v>-39.100658446829073</v>
      </c>
      <c r="R32" s="34">
        <f>IF(B32&lt;10,Parametri!$B$49,IF(B32&lt;20,Parametri!$B$52,0))*M32*G32/1000</f>
        <v>0</v>
      </c>
      <c r="S32" s="37">
        <v>0</v>
      </c>
      <c r="T32" s="34">
        <f>-(Parametri!$B$82*(Parametri!$B$83*Parametri!$B$86+Parametri!$B$84*Parametri!$B$87+Parametri!$B$85*Parametri!$B$88)/1000000000)*MIN(B32+1,Parametri!$B$89)</f>
        <v>-2.9372500000000001</v>
      </c>
      <c r="U32" s="38">
        <f>Parametri!$B$45*Parametri!$B$92*13/1000000000*((B32+1)*Parametri!$B$117+B32*(B32+1)/2*Parametri!$B$118)</f>
        <v>101.2613238</v>
      </c>
      <c r="V32" s="34">
        <f>IF(B32&gt;=Parametri!$B$99-1,Parametri!$B$98,0)</f>
        <v>6</v>
      </c>
      <c r="W32" s="34">
        <f>IF(B32&gt;=Parametri!$B$101-1,Parametri!$B$100,0)</f>
        <v>5</v>
      </c>
      <c r="X32" s="34">
        <f>IF(B32&gt;=Parametri!$B$103-1,Parametri!$B$102,0)</f>
        <v>2.75</v>
      </c>
      <c r="Y32" s="34">
        <f>IF(B32&gt;=Parametri!$B$105-1,Parametri!$B$104,0)</f>
        <v>1</v>
      </c>
      <c r="Z32" s="39">
        <f t="shared" si="6"/>
        <v>97.030593133814776</v>
      </c>
      <c r="AA32" s="39">
        <f t="shared" si="7"/>
        <v>1247.2430082983376</v>
      </c>
      <c r="AB32" s="40">
        <f t="shared" si="5"/>
        <v>-0.460536522287539</v>
      </c>
    </row>
    <row r="33" spans="1:28" x14ac:dyDescent="0.2">
      <c r="A33" s="30">
        <f>Parametri!$B$6+B33</f>
        <v>2054</v>
      </c>
      <c r="B33" s="31">
        <v>28</v>
      </c>
      <c r="C33" s="32">
        <f>C32*(1+Parametri!$B$14)</f>
        <v>28.143497594932747</v>
      </c>
      <c r="D33" s="32">
        <f>D32*(1+Parametri!$B$15)+Parametri!$B$18*(1-Parametri!$B$15)^B32</f>
        <v>18.465934949488435</v>
      </c>
      <c r="E33" s="33">
        <f t="shared" si="0"/>
        <v>0.65613504104099829</v>
      </c>
      <c r="F33" s="34">
        <f>F32*(1+Parametri!$B$20)</f>
        <v>2729.9049945484458</v>
      </c>
      <c r="G33" s="35">
        <f>G32*(1+Parametri!$B$22)</f>
        <v>27496.002007999818</v>
      </c>
      <c r="H33" s="34">
        <f t="shared" si="1"/>
        <v>427.32112847998343</v>
      </c>
      <c r="I33" s="36">
        <f>IF(B33&lt;=(Parametri!$B$35-Parametri!$B$6),Parametri!$B$32+(Parametri!$B$33-Parametri!$B$32)*B33/(Parametri!$B$35-Parametri!$B$6),Parametri!$B$33+(Parametri!$B$34-Parametri!$B$33)*(B33-(Parametri!$B$35-Parametri!$B$6))/(2070-Parametri!$B$35))</f>
        <v>0.15653333333333336</v>
      </c>
      <c r="J33" s="34">
        <f t="shared" si="2"/>
        <v>319.65988127998344</v>
      </c>
      <c r="K33" s="36">
        <f t="shared" si="3"/>
        <v>0.1170956065937593</v>
      </c>
      <c r="L33" s="36">
        <f>IF(B33&lt;=5,Parametri!$B$55+(Parametri!$B$56-Parametri!$B$55)/5*B33,MIN(Parametri!$B$57,Parametri!$B$56+(Parametri!$B$57-Parametri!$B$56)/24*(B33-5)))</f>
        <v>0.98333333333333328</v>
      </c>
      <c r="M33" s="32">
        <f t="shared" si="4"/>
        <v>18.158169366996962</v>
      </c>
      <c r="N33" s="34">
        <f>IF(B33&lt;Parametri!$B$72,Parametri!$B$71*Parametri!$B$70*Parametri!$B$69/Parametri!$B$72,0)</f>
        <v>0</v>
      </c>
      <c r="O33" s="34">
        <f>IF(B33&lt;10,Parametri!$B$50,IF(B33&lt;20,Parametri!$B$53,Parametri!$B$54))*M33*G33*Parametri!$B$68/1000</f>
        <v>10.784384525733463</v>
      </c>
      <c r="P33" s="34">
        <f>MIN(Parametri!$B$77+Parametri!$B$78,
Parametri!$B$77+Parametri!$B$78*(B33+1)/Parametri!$B$79)</f>
        <v>12.5</v>
      </c>
      <c r="Q33" s="34">
        <f>-IF(B33&lt;10,Parametri!$B$48,IF(B33&lt;20,Parametri!$B$51,Parametri!$B$54))*M33*G33/1000</f>
        <v>-39.942164910123935</v>
      </c>
      <c r="R33" s="34">
        <f>IF(B33&lt;10,Parametri!$B$49,IF(B33&lt;20,Parametri!$B$52,0))*M33*G33/1000</f>
        <v>0</v>
      </c>
      <c r="S33" s="37">
        <v>0</v>
      </c>
      <c r="T33" s="34">
        <f>-(Parametri!$B$82*(Parametri!$B$83*Parametri!$B$86+Parametri!$B$84*Parametri!$B$87+Parametri!$B$85*Parametri!$B$88)/1000000000)*MIN(B33+1,Parametri!$B$89)</f>
        <v>-2.9372500000000001</v>
      </c>
      <c r="U33" s="38">
        <f>Parametri!$B$45*Parametri!$B$92*13/1000000000*((B33+1)*Parametri!$B$117+B33*(B33+1)/2*Parametri!$B$118)</f>
        <v>107.66124719999999</v>
      </c>
      <c r="V33" s="34">
        <f>IF(B33&gt;=Parametri!$B$99-1,Parametri!$B$98,0)</f>
        <v>6</v>
      </c>
      <c r="W33" s="34">
        <f>IF(B33&gt;=Parametri!$B$101-1,Parametri!$B$100,0)</f>
        <v>5</v>
      </c>
      <c r="X33" s="34">
        <f>IF(B33&gt;=Parametri!$B$103-1,Parametri!$B$102,0)</f>
        <v>2.75</v>
      </c>
      <c r="Y33" s="34">
        <f>IF(B33&gt;=Parametri!$B$105-1,Parametri!$B$104,0)</f>
        <v>1</v>
      </c>
      <c r="Z33" s="39">
        <f t="shared" si="6"/>
        <v>102.81621681560952</v>
      </c>
      <c r="AA33" s="39">
        <f t="shared" si="7"/>
        <v>1350.0592251139472</v>
      </c>
      <c r="AB33" s="40">
        <f t="shared" si="5"/>
        <v>-0.49454439909446768</v>
      </c>
    </row>
    <row r="34" spans="1:28" x14ac:dyDescent="0.2">
      <c r="A34" s="30">
        <f>Parametri!$B$6+B34</f>
        <v>2055</v>
      </c>
      <c r="B34" s="31">
        <v>29</v>
      </c>
      <c r="C34" s="32">
        <f>C33*(1+Parametri!$B$14)</f>
        <v>28.424932570882074</v>
      </c>
      <c r="D34" s="32">
        <f>D33*(1+Parametri!$B$15)+Parametri!$B$18*(1-Parametri!$B$15)^B33</f>
        <v>18.506990497498705</v>
      </c>
      <c r="E34" s="33">
        <f t="shared" si="0"/>
        <v>0.65108300437823696</v>
      </c>
      <c r="F34" s="34">
        <f>F33*(1+Parametri!$B$20)</f>
        <v>2751.7442345048335</v>
      </c>
      <c r="G34" s="35">
        <f>G33*(1+Parametri!$B$22)</f>
        <v>27550.994012015817</v>
      </c>
      <c r="H34" s="34">
        <f t="shared" si="1"/>
        <v>427.89622846550168</v>
      </c>
      <c r="I34" s="36">
        <f>IF(B34&lt;=(Parametri!$B$35-Parametri!$B$6),Parametri!$B$32+(Parametri!$B$33-Parametri!$B$32)*B34/(Parametri!$B$35-Parametri!$B$6),Parametri!$B$33+(Parametri!$B$34-Parametri!$B$33)*(B34-(Parametri!$B$35-Parametri!$B$6))/(2070-Parametri!$B$35))</f>
        <v>0.15550000000000003</v>
      </c>
      <c r="J34" s="34">
        <f t="shared" si="2"/>
        <v>313.64309596550169</v>
      </c>
      <c r="K34" s="36">
        <f t="shared" si="3"/>
        <v>0.11397974129741045</v>
      </c>
      <c r="L34" s="36">
        <f>IF(B34&lt;=5,Parametri!$B$55+(Parametri!$B$56-Parametri!$B$55)/5*B34,MIN(Parametri!$B$57,Parametri!$B$56+(Parametri!$B$57-Parametri!$B$56)/24*(B34-5)))</f>
        <v>1</v>
      </c>
      <c r="M34" s="32">
        <f t="shared" si="4"/>
        <v>18.506990497498705</v>
      </c>
      <c r="N34" s="34">
        <f>IF(B34&lt;Parametri!$B$72,Parametri!$B$71*Parametri!$B$70*Parametri!$B$69/Parametri!$B$72,0)</f>
        <v>0</v>
      </c>
      <c r="O34" s="34">
        <f>IF(B34&lt;10,Parametri!$B$50,IF(B34&lt;20,Parametri!$B$53,Parametri!$B$54))*M34*G34*Parametri!$B$68/1000</f>
        <v>11.013537262543643</v>
      </c>
      <c r="P34" s="34">
        <f>MIN(Parametri!$B$77+Parametri!$B$78,
Parametri!$B$77+Parametri!$B$78*(B34+1)/Parametri!$B$79)</f>
        <v>12.5</v>
      </c>
      <c r="Q34" s="34">
        <f>-IF(B34&lt;10,Parametri!$B$48,IF(B34&lt;20,Parametri!$B$51,Parametri!$B$54))*M34*G34/1000</f>
        <v>-40.790878750161639</v>
      </c>
      <c r="R34" s="34">
        <f>IF(B34&lt;10,Parametri!$B$49,IF(B34&lt;20,Parametri!$B$52,0))*M34*G34/1000</f>
        <v>0</v>
      </c>
      <c r="S34" s="37">
        <v>0</v>
      </c>
      <c r="T34" s="34">
        <f>-(Parametri!$B$82*(Parametri!$B$83*Parametri!$B$86+Parametri!$B$84*Parametri!$B$87+Parametri!$B$85*Parametri!$B$88)/1000000000)*MIN(B34+1,Parametri!$B$89)</f>
        <v>-2.9372500000000001</v>
      </c>
      <c r="U34" s="38">
        <f>Parametri!$B$45*Parametri!$B$92*13/1000000000*((B34+1)*Parametri!$B$117+B34*(B34+1)/2*Parametri!$B$118)</f>
        <v>114.25313249999998</v>
      </c>
      <c r="V34" s="34">
        <f>IF(B34&gt;=Parametri!$B$99-1,Parametri!$B$98,0)</f>
        <v>6</v>
      </c>
      <c r="W34" s="34">
        <f>IF(B34&gt;=Parametri!$B$101-1,Parametri!$B$100,0)</f>
        <v>5</v>
      </c>
      <c r="X34" s="34">
        <f>IF(B34&gt;=Parametri!$B$103-1,Parametri!$B$102,0)</f>
        <v>2.75</v>
      </c>
      <c r="Y34" s="34">
        <f>IF(B34&gt;=Parametri!$B$105-1,Parametri!$B$104,0)</f>
        <v>1</v>
      </c>
      <c r="Z34" s="39">
        <f t="shared" si="6"/>
        <v>108.78854101238198</v>
      </c>
      <c r="AA34" s="39">
        <f t="shared" si="7"/>
        <v>1458.8477661263291</v>
      </c>
      <c r="AB34" s="40">
        <f t="shared" si="5"/>
        <v>-0.53015383763994461</v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44" customWidth="1"/>
    <col min="2" max="7" width="13" customWidth="1"/>
  </cols>
  <sheetData>
    <row r="1" spans="1:7" ht="19" customHeight="1" x14ac:dyDescent="0.25">
      <c r="A1" s="48" t="s">
        <v>305</v>
      </c>
      <c r="B1" s="43"/>
      <c r="C1" s="43"/>
      <c r="D1" s="43"/>
      <c r="E1" s="43"/>
      <c r="F1" s="43"/>
      <c r="G1" s="43"/>
    </row>
    <row r="3" spans="1:7" x14ac:dyDescent="0.2">
      <c r="A3" s="20" t="s">
        <v>306</v>
      </c>
    </row>
    <row r="4" spans="1:7" x14ac:dyDescent="0.2">
      <c r="A4" s="1" t="s">
        <v>307</v>
      </c>
      <c r="B4" s="1" t="s">
        <v>308</v>
      </c>
      <c r="C4" s="1" t="s">
        <v>309</v>
      </c>
      <c r="D4" s="1" t="s">
        <v>310</v>
      </c>
      <c r="E4" s="1" t="s">
        <v>311</v>
      </c>
      <c r="F4" s="1" t="s">
        <v>312</v>
      </c>
      <c r="G4" s="1" t="s">
        <v>313</v>
      </c>
    </row>
    <row r="5" spans="1:7" x14ac:dyDescent="0.2">
      <c r="A5" s="21" t="s">
        <v>314</v>
      </c>
      <c r="B5" s="9">
        <f>Modello!I5</f>
        <v>0.154</v>
      </c>
      <c r="C5" s="9">
        <f>Modello!I9</f>
        <v>0.15885714285714286</v>
      </c>
      <c r="D5" s="9">
        <f>Modello!I14</f>
        <v>0.16492857142857142</v>
      </c>
      <c r="E5" s="9">
        <f>Modello!I19</f>
        <v>0.17100000000000001</v>
      </c>
      <c r="F5" s="9">
        <f>Modello!I29</f>
        <v>0.16066666666666668</v>
      </c>
      <c r="G5" s="9">
        <f>Modello!I34</f>
        <v>0.15550000000000003</v>
      </c>
    </row>
    <row r="6" spans="1:7" x14ac:dyDescent="0.2">
      <c r="A6" s="21" t="s">
        <v>315</v>
      </c>
      <c r="B6" s="9">
        <f>Modello!K5</f>
        <v>0.15353068214285714</v>
      </c>
      <c r="C6" s="9">
        <f>Modello!K9</f>
        <v>0.15573279251577871</v>
      </c>
      <c r="D6" s="9">
        <f>Modello!K14</f>
        <v>0.15687862737172359</v>
      </c>
      <c r="E6" s="9">
        <f>Modello!K19</f>
        <v>0.15644857436532797</v>
      </c>
      <c r="F6" s="9">
        <f>Modello!K29</f>
        <v>0.1291973385215158</v>
      </c>
      <c r="G6" s="9">
        <f>Modello!K34</f>
        <v>0.11397974129741045</v>
      </c>
    </row>
    <row r="7" spans="1:7" x14ac:dyDescent="0.2">
      <c r="A7" s="21" t="s">
        <v>316</v>
      </c>
      <c r="B7" s="9">
        <f>Modello!I5-Modello!K5</f>
        <v>4.6931785714285357E-4</v>
      </c>
      <c r="C7" s="9">
        <f>Modello!I9-Modello!K9</f>
        <v>3.1243503413641571E-3</v>
      </c>
      <c r="D7" s="9">
        <f>Modello!I14-Modello!K14</f>
        <v>8.0499440568478353E-3</v>
      </c>
      <c r="E7" s="9">
        <f>Modello!I19-Modello!K19</f>
        <v>1.4551425634672044E-2</v>
      </c>
      <c r="F7" s="9">
        <f>Modello!I29-Modello!K29</f>
        <v>3.1469328145150882E-2</v>
      </c>
      <c r="G7" s="9">
        <f>Modello!I34-Modello!K34</f>
        <v>4.1520258702589574E-2</v>
      </c>
    </row>
    <row r="9" spans="1:7" x14ac:dyDescent="0.2">
      <c r="A9" s="20" t="s">
        <v>317</v>
      </c>
    </row>
    <row r="10" spans="1:7" x14ac:dyDescent="0.2">
      <c r="A10" s="1" t="s">
        <v>307</v>
      </c>
      <c r="B10" s="1" t="s">
        <v>308</v>
      </c>
      <c r="C10" s="1" t="s">
        <v>309</v>
      </c>
      <c r="D10" s="1" t="s">
        <v>310</v>
      </c>
      <c r="E10" s="1" t="s">
        <v>318</v>
      </c>
      <c r="F10" s="1" t="s">
        <v>312</v>
      </c>
      <c r="G10" s="1" t="s">
        <v>313</v>
      </c>
    </row>
    <row r="11" spans="1:7" x14ac:dyDescent="0.2">
      <c r="A11" t="s">
        <v>319</v>
      </c>
      <c r="B11" s="13">
        <f>Modello!AA5</f>
        <v>6.5901601999999988</v>
      </c>
      <c r="C11" s="13">
        <f>Modello!AA9</f>
        <v>60.792842137598591</v>
      </c>
      <c r="D11" s="13">
        <f>Modello!AA14</f>
        <v>157.42884340121674</v>
      </c>
      <c r="E11" s="13">
        <f>Modello!AA19</f>
        <v>340.72975948304804</v>
      </c>
      <c r="F11" s="13">
        <f>Modello!AA29</f>
        <v>972.76098491253413</v>
      </c>
      <c r="G11" s="13">
        <f>Modello!AA34</f>
        <v>1458.8477661263291</v>
      </c>
    </row>
    <row r="12" spans="1:7" x14ac:dyDescent="0.2">
      <c r="A12" t="s">
        <v>320</v>
      </c>
      <c r="B12" s="9">
        <f>Modello!AB5</f>
        <v>-3.0174726190476185E-3</v>
      </c>
      <c r="C12" s="9">
        <f>Modello!AB9</f>
        <v>-2.6962346471836096E-2</v>
      </c>
      <c r="D12" s="9">
        <f>Modello!AB14</f>
        <v>-6.7094493969527408E-2</v>
      </c>
      <c r="E12" s="9">
        <f>Modello!AB19</f>
        <v>-0.1395436193555239</v>
      </c>
      <c r="F12" s="9">
        <f>Modello!AB29</f>
        <v>-0.36787539304567757</v>
      </c>
      <c r="G12" s="9">
        <f>Modello!AB34</f>
        <v>-0.53015383763994461</v>
      </c>
    </row>
    <row r="14" spans="1:7" x14ac:dyDescent="0.2">
      <c r="A14" s="20" t="s">
        <v>321</v>
      </c>
    </row>
    <row r="15" spans="1:7" x14ac:dyDescent="0.2">
      <c r="A15" t="s">
        <v>322</v>
      </c>
      <c r="B15" s="19">
        <f>MIN(Modello!Z5:Z34)</f>
        <v>6.5901601999999988</v>
      </c>
    </row>
    <row r="16" spans="1:7" x14ac:dyDescent="0.2">
      <c r="A16" t="s">
        <v>323</v>
      </c>
      <c r="B16" s="3">
        <f>INDEX(Modello!A5:A34,MATCH(MIN(Modello!Z5:Z34),Modello!Z5:Z34,0))</f>
        <v>2026</v>
      </c>
    </row>
    <row r="17" spans="1:6" x14ac:dyDescent="0.2">
      <c r="A17" t="s">
        <v>324</v>
      </c>
      <c r="B17" s="13">
        <f>SUM(Modello!R5:R34)</f>
        <v>49.671272804383442</v>
      </c>
    </row>
    <row r="18" spans="1:6" x14ac:dyDescent="0.2">
      <c r="A18" t="s">
        <v>325</v>
      </c>
      <c r="B18" s="13">
        <f>SUM(Modello!S5:S34)</f>
        <v>0</v>
      </c>
    </row>
    <row r="19" spans="1:6" x14ac:dyDescent="0.2">
      <c r="A19" t="s">
        <v>326</v>
      </c>
      <c r="B19" s="9">
        <f>SUM(Modello!S5:S34)/Modello!F34</f>
        <v>0</v>
      </c>
    </row>
    <row r="20" spans="1:6" x14ac:dyDescent="0.2">
      <c r="A20" t="s">
        <v>327</v>
      </c>
      <c r="B20" s="13">
        <f>SUM(Modello!V5:Y34)</f>
        <v>434.75</v>
      </c>
    </row>
    <row r="22" spans="1:6" x14ac:dyDescent="0.2">
      <c r="A22" s="20" t="s">
        <v>328</v>
      </c>
    </row>
    <row r="23" spans="1:6" x14ac:dyDescent="0.2">
      <c r="A23" t="s">
        <v>329</v>
      </c>
      <c r="B23" t="str">
        <f>IF(ABS(B15)/Modello!F5&lt;=0.005,"OK","ATTENZIONE")</f>
        <v>OK</v>
      </c>
    </row>
    <row r="24" spans="1:6" x14ac:dyDescent="0.2">
      <c r="A24" t="s">
        <v>330</v>
      </c>
      <c r="B24" t="str">
        <f>IF(G11&gt;=0,"SI — autofinanziato","NO — fabbisogno residuo")</f>
        <v>SI — autofinanziato</v>
      </c>
    </row>
    <row r="25" spans="1:6" x14ac:dyDescent="0.2">
      <c r="A25" t="s">
        <v>331</v>
      </c>
      <c r="B25" t="str">
        <f>IF(G6&lt;G5,"SI — risparmio strutturale","NO — aumenta")</f>
        <v>SI — risparmio strutturale</v>
      </c>
    </row>
    <row r="27" spans="1:6" x14ac:dyDescent="0.2">
      <c r="A27" s="20" t="s">
        <v>332</v>
      </c>
    </row>
    <row r="28" spans="1:6" x14ac:dyDescent="0.2">
      <c r="A28" s="1" t="s">
        <v>333</v>
      </c>
      <c r="B28" s="1" t="s">
        <v>334</v>
      </c>
      <c r="C28" s="1" t="s">
        <v>335</v>
      </c>
      <c r="D28" s="1" t="s">
        <v>336</v>
      </c>
      <c r="E28" s="1" t="s">
        <v>337</v>
      </c>
      <c r="F28" s="1" t="s">
        <v>338</v>
      </c>
    </row>
    <row r="29" spans="1:6" x14ac:dyDescent="0.2">
      <c r="A29" t="s">
        <v>339</v>
      </c>
      <c r="B29" s="3" t="s">
        <v>340</v>
      </c>
      <c r="C29" s="3" t="s">
        <v>340</v>
      </c>
      <c r="D29" s="3" t="s">
        <v>340</v>
      </c>
      <c r="E29" s="3" t="s">
        <v>340</v>
      </c>
      <c r="F29" s="3" t="s">
        <v>340</v>
      </c>
    </row>
    <row r="30" spans="1:6" x14ac:dyDescent="0.2">
      <c r="A30" s="21" t="s">
        <v>341</v>
      </c>
      <c r="B30" s="3" t="s">
        <v>340</v>
      </c>
      <c r="C30" s="3" t="s">
        <v>340</v>
      </c>
      <c r="D30" s="3" t="s">
        <v>340</v>
      </c>
      <c r="E30" s="3" t="s">
        <v>340</v>
      </c>
      <c r="F30" s="3" t="s">
        <v>340</v>
      </c>
    </row>
    <row r="31" spans="1:6" x14ac:dyDescent="0.2">
      <c r="A31" t="s">
        <v>342</v>
      </c>
      <c r="B31" s="3" t="s">
        <v>340</v>
      </c>
      <c r="C31" s="3" t="s">
        <v>340</v>
      </c>
      <c r="D31" s="3" t="s">
        <v>340</v>
      </c>
      <c r="E31" s="3" t="s">
        <v>340</v>
      </c>
      <c r="F31" s="3" t="s">
        <v>340</v>
      </c>
    </row>
    <row r="33" spans="1:7" x14ac:dyDescent="0.2">
      <c r="A33" s="20" t="s">
        <v>343</v>
      </c>
    </row>
    <row r="34" spans="1:7" x14ac:dyDescent="0.2">
      <c r="A34" s="49" t="s">
        <v>344</v>
      </c>
      <c r="B34" s="43"/>
      <c r="C34" s="43"/>
      <c r="D34" s="43"/>
      <c r="E34" s="43"/>
      <c r="F34" s="43"/>
      <c r="G34" s="43"/>
    </row>
    <row r="35" spans="1:7" x14ac:dyDescent="0.2">
      <c r="A35" s="49" t="s">
        <v>345</v>
      </c>
      <c r="B35" s="43"/>
      <c r="C35" s="43"/>
      <c r="D35" s="43"/>
      <c r="E35" s="43"/>
      <c r="F35" s="43"/>
      <c r="G35" s="43"/>
    </row>
    <row r="36" spans="1:7" x14ac:dyDescent="0.2">
      <c r="A36" s="49" t="s">
        <v>346</v>
      </c>
      <c r="B36" s="43"/>
      <c r="C36" s="43"/>
      <c r="D36" s="43"/>
      <c r="E36" s="43"/>
      <c r="F36" s="43"/>
      <c r="G36" s="43"/>
    </row>
    <row r="37" spans="1:7" x14ac:dyDescent="0.2">
      <c r="A37" s="49" t="s">
        <v>347</v>
      </c>
      <c r="B37" s="43"/>
      <c r="C37" s="43"/>
      <c r="D37" s="43"/>
      <c r="E37" s="43"/>
      <c r="F37" s="43"/>
      <c r="G37" s="43"/>
    </row>
    <row r="38" spans="1:7" x14ac:dyDescent="0.2">
      <c r="A38" s="49" t="s">
        <v>348</v>
      </c>
      <c r="B38" s="43"/>
      <c r="C38" s="43"/>
      <c r="D38" s="43"/>
      <c r="E38" s="43"/>
      <c r="F38" s="43"/>
      <c r="G38" s="43"/>
    </row>
    <row r="39" spans="1:7" x14ac:dyDescent="0.2">
      <c r="A39" s="49" t="s">
        <v>349</v>
      </c>
      <c r="B39" s="43"/>
      <c r="C39" s="43"/>
      <c r="D39" s="43"/>
      <c r="E39" s="43"/>
      <c r="F39" s="43"/>
      <c r="G39" s="43"/>
    </row>
    <row r="40" spans="1:7" x14ac:dyDescent="0.2">
      <c r="A40" s="49" t="s">
        <v>350</v>
      </c>
      <c r="B40" s="43"/>
      <c r="C40" s="43"/>
      <c r="D40" s="43"/>
      <c r="E40" s="43"/>
      <c r="F40" s="43"/>
      <c r="G40" s="43"/>
    </row>
    <row r="41" spans="1:7" x14ac:dyDescent="0.2">
      <c r="A41" s="49" t="s">
        <v>351</v>
      </c>
      <c r="B41" s="43"/>
      <c r="C41" s="43"/>
      <c r="D41" s="43"/>
      <c r="E41" s="43"/>
      <c r="F41" s="43"/>
      <c r="G41" s="43"/>
    </row>
    <row r="42" spans="1:7" x14ac:dyDescent="0.2">
      <c r="A42" s="49" t="s">
        <v>352</v>
      </c>
      <c r="B42" s="43"/>
      <c r="C42" s="43"/>
      <c r="D42" s="43"/>
      <c r="E42" s="43"/>
      <c r="F42" s="43"/>
      <c r="G42" s="43"/>
    </row>
  </sheetData>
  <mergeCells count="10">
    <mergeCell ref="A41:G41"/>
    <mergeCell ref="A42:G42"/>
    <mergeCell ref="A37:G37"/>
    <mergeCell ref="A36:G36"/>
    <mergeCell ref="A1:G1"/>
    <mergeCell ref="A40:G40"/>
    <mergeCell ref="A39:G39"/>
    <mergeCell ref="A34:G34"/>
    <mergeCell ref="A35:G35"/>
    <mergeCell ref="A38:G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sqref="A1:E1"/>
    </sheetView>
  </sheetViews>
  <sheetFormatPr baseColWidth="10" defaultColWidth="8.83203125" defaultRowHeight="15" x14ac:dyDescent="0.2"/>
  <cols>
    <col min="1" max="1" width="36" customWidth="1"/>
    <col min="2" max="4" width="18" customWidth="1"/>
    <col min="5" max="5" width="50" customWidth="1"/>
  </cols>
  <sheetData>
    <row r="1" spans="1:5" ht="17" customHeight="1" x14ac:dyDescent="0.2">
      <c r="A1" s="44" t="s">
        <v>353</v>
      </c>
      <c r="B1" s="43"/>
      <c r="C1" s="43"/>
      <c r="D1" s="43"/>
      <c r="E1" s="43"/>
    </row>
    <row r="3" spans="1:5" x14ac:dyDescent="0.2">
      <c r="A3" s="1" t="s">
        <v>307</v>
      </c>
      <c r="B3" s="1" t="s">
        <v>354</v>
      </c>
      <c r="C3" s="1" t="s">
        <v>355</v>
      </c>
      <c r="D3" s="1" t="s">
        <v>356</v>
      </c>
      <c r="E3" s="1" t="s">
        <v>357</v>
      </c>
    </row>
    <row r="4" spans="1:5" ht="16" customHeight="1" x14ac:dyDescent="0.2">
      <c r="A4" s="22" t="s">
        <v>358</v>
      </c>
      <c r="B4" s="23" t="s">
        <v>359</v>
      </c>
      <c r="C4" s="23" t="s">
        <v>360</v>
      </c>
      <c r="D4" s="23" t="s">
        <v>360</v>
      </c>
      <c r="E4" s="23" t="s">
        <v>361</v>
      </c>
    </row>
    <row r="5" spans="1:5" ht="16" customHeight="1" x14ac:dyDescent="0.2">
      <c r="A5" s="24" t="s">
        <v>362</v>
      </c>
      <c r="B5" s="2" t="s">
        <v>363</v>
      </c>
      <c r="C5" s="2" t="s">
        <v>364</v>
      </c>
      <c r="D5" s="2" t="s">
        <v>365</v>
      </c>
      <c r="E5" s="2" t="s">
        <v>366</v>
      </c>
    </row>
    <row r="6" spans="1:5" ht="16" customHeight="1" x14ac:dyDescent="0.2">
      <c r="A6" s="22" t="s">
        <v>367</v>
      </c>
      <c r="B6" s="23" t="s">
        <v>363</v>
      </c>
      <c r="C6" s="23" t="s">
        <v>368</v>
      </c>
      <c r="D6" s="23" t="s">
        <v>369</v>
      </c>
      <c r="E6" s="23" t="s">
        <v>370</v>
      </c>
    </row>
    <row r="7" spans="1:5" ht="16" customHeight="1" x14ac:dyDescent="0.2">
      <c r="A7" s="24" t="s">
        <v>371</v>
      </c>
      <c r="B7" s="2" t="s">
        <v>372</v>
      </c>
      <c r="C7" s="2" t="s">
        <v>373</v>
      </c>
      <c r="D7" s="2" t="s">
        <v>374</v>
      </c>
      <c r="E7" s="2" t="s">
        <v>375</v>
      </c>
    </row>
    <row r="8" spans="1:5" ht="16" customHeight="1" x14ac:dyDescent="0.2">
      <c r="A8" s="22" t="s">
        <v>376</v>
      </c>
      <c r="B8" s="23" t="s">
        <v>377</v>
      </c>
      <c r="C8" s="23" t="s">
        <v>378</v>
      </c>
      <c r="D8" s="23" t="s">
        <v>379</v>
      </c>
      <c r="E8" s="23" t="s">
        <v>380</v>
      </c>
    </row>
    <row r="9" spans="1:5" ht="16" customHeight="1" x14ac:dyDescent="0.2">
      <c r="A9" s="24" t="s">
        <v>381</v>
      </c>
      <c r="B9" s="2" t="s">
        <v>363</v>
      </c>
      <c r="C9" s="2" t="s">
        <v>382</v>
      </c>
      <c r="D9" s="2" t="s">
        <v>382</v>
      </c>
      <c r="E9" s="2" t="s">
        <v>383</v>
      </c>
    </row>
    <row r="10" spans="1:5" ht="32" customHeight="1" x14ac:dyDescent="0.2">
      <c r="A10" s="22" t="s">
        <v>384</v>
      </c>
      <c r="B10" s="23" t="s">
        <v>385</v>
      </c>
      <c r="C10" s="23" t="s">
        <v>386</v>
      </c>
      <c r="D10" s="23" t="s">
        <v>387</v>
      </c>
      <c r="E10" s="23" t="s">
        <v>388</v>
      </c>
    </row>
    <row r="11" spans="1:5" ht="16" customHeight="1" x14ac:dyDescent="0.2">
      <c r="A11" s="24" t="s">
        <v>114</v>
      </c>
      <c r="B11" s="2" t="s">
        <v>389</v>
      </c>
      <c r="C11" s="2" t="s">
        <v>389</v>
      </c>
      <c r="D11" s="2" t="s">
        <v>389</v>
      </c>
      <c r="E11" s="2" t="s">
        <v>390</v>
      </c>
    </row>
    <row r="12" spans="1:5" ht="16" customHeight="1" x14ac:dyDescent="0.2">
      <c r="A12" s="22" t="s">
        <v>117</v>
      </c>
      <c r="B12" s="23" t="s">
        <v>391</v>
      </c>
      <c r="C12" s="23" t="s">
        <v>392</v>
      </c>
      <c r="D12" s="23" t="s">
        <v>392</v>
      </c>
      <c r="E12" s="23" t="s">
        <v>393</v>
      </c>
    </row>
    <row r="13" spans="1:5" ht="16" customHeight="1" x14ac:dyDescent="0.2">
      <c r="A13" s="24" t="s">
        <v>394</v>
      </c>
      <c r="B13" s="2" t="s">
        <v>395</v>
      </c>
      <c r="C13" s="2" t="s">
        <v>396</v>
      </c>
      <c r="D13" s="2" t="s">
        <v>397</v>
      </c>
      <c r="E13" s="2" t="s">
        <v>398</v>
      </c>
    </row>
    <row r="14" spans="1:5" ht="16" customHeight="1" x14ac:dyDescent="0.2">
      <c r="A14" s="22" t="s">
        <v>399</v>
      </c>
      <c r="B14" s="23" t="s">
        <v>400</v>
      </c>
      <c r="C14" s="23" t="s">
        <v>401</v>
      </c>
      <c r="D14" s="23" t="s">
        <v>363</v>
      </c>
      <c r="E14" s="23" t="s">
        <v>402</v>
      </c>
    </row>
    <row r="15" spans="1:5" ht="16" customHeight="1" x14ac:dyDescent="0.2">
      <c r="A15" s="24" t="s">
        <v>403</v>
      </c>
      <c r="B15" s="2" t="s">
        <v>404</v>
      </c>
      <c r="C15" s="2" t="s">
        <v>405</v>
      </c>
      <c r="D15" s="2" t="s">
        <v>406</v>
      </c>
      <c r="E15" s="2" t="s">
        <v>407</v>
      </c>
    </row>
    <row r="16" spans="1:5" ht="16" customHeight="1" x14ac:dyDescent="0.2">
      <c r="A16" s="22" t="s">
        <v>408</v>
      </c>
      <c r="B16" s="23" t="s">
        <v>409</v>
      </c>
      <c r="C16" s="23" t="s">
        <v>410</v>
      </c>
      <c r="D16" s="23" t="s">
        <v>411</v>
      </c>
      <c r="E16" s="23" t="s">
        <v>412</v>
      </c>
    </row>
    <row r="17" spans="1:5" ht="16" customHeight="1" x14ac:dyDescent="0.2">
      <c r="A17" s="24" t="s">
        <v>413</v>
      </c>
      <c r="B17" s="2" t="s">
        <v>391</v>
      </c>
      <c r="C17" s="2" t="s">
        <v>414</v>
      </c>
      <c r="D17" s="2" t="s">
        <v>415</v>
      </c>
      <c r="E17" s="2" t="s">
        <v>366</v>
      </c>
    </row>
    <row r="18" spans="1:5" ht="16" customHeight="1" x14ac:dyDescent="0.2">
      <c r="A18" s="22" t="s">
        <v>416</v>
      </c>
      <c r="B18" s="23" t="s">
        <v>417</v>
      </c>
      <c r="C18" s="23" t="s">
        <v>418</v>
      </c>
      <c r="D18" s="23" t="s">
        <v>419</v>
      </c>
      <c r="E18" s="23" t="s">
        <v>420</v>
      </c>
    </row>
    <row r="19" spans="1:5" ht="16" customHeight="1" x14ac:dyDescent="0.2">
      <c r="A19" s="24" t="s">
        <v>421</v>
      </c>
      <c r="B19" s="2" t="s">
        <v>422</v>
      </c>
      <c r="C19" s="2" t="s">
        <v>423</v>
      </c>
      <c r="D19" s="2" t="s">
        <v>424</v>
      </c>
      <c r="E19" s="2" t="s">
        <v>185</v>
      </c>
    </row>
    <row r="20" spans="1:5" ht="16" customHeight="1" x14ac:dyDescent="0.2">
      <c r="A20" s="22" t="s">
        <v>425</v>
      </c>
      <c r="B20" s="23" t="s">
        <v>426</v>
      </c>
      <c r="C20" s="23" t="s">
        <v>427</v>
      </c>
      <c r="D20" s="23" t="s">
        <v>424</v>
      </c>
      <c r="E20" s="23" t="s">
        <v>428</v>
      </c>
    </row>
    <row r="21" spans="1:5" ht="16" customHeight="1" x14ac:dyDescent="0.2">
      <c r="A21" s="24" t="s">
        <v>429</v>
      </c>
      <c r="B21" s="2" t="s">
        <v>430</v>
      </c>
      <c r="C21" s="2" t="s">
        <v>431</v>
      </c>
      <c r="D21" s="2" t="s">
        <v>424</v>
      </c>
      <c r="E21" s="2" t="s">
        <v>432</v>
      </c>
    </row>
    <row r="22" spans="1:5" ht="16" customHeight="1" x14ac:dyDescent="0.2">
      <c r="A22" s="22" t="s">
        <v>433</v>
      </c>
      <c r="B22" s="23" t="s">
        <v>363</v>
      </c>
      <c r="C22" s="23" t="s">
        <v>434</v>
      </c>
      <c r="D22" s="23" t="s">
        <v>435</v>
      </c>
      <c r="E22" s="23" t="s">
        <v>436</v>
      </c>
    </row>
    <row r="23" spans="1:5" ht="16" customHeight="1" x14ac:dyDescent="0.2">
      <c r="A23" s="24" t="s">
        <v>437</v>
      </c>
      <c r="B23" s="2" t="s">
        <v>363</v>
      </c>
      <c r="C23" s="2" t="s">
        <v>438</v>
      </c>
      <c r="D23" s="2" t="s">
        <v>439</v>
      </c>
      <c r="E23" s="2" t="s">
        <v>440</v>
      </c>
    </row>
    <row r="24" spans="1:5" ht="32" customHeight="1" x14ac:dyDescent="0.2">
      <c r="A24" s="22" t="s">
        <v>441</v>
      </c>
      <c r="B24" s="23" t="s">
        <v>442</v>
      </c>
      <c r="C24" s="23" t="s">
        <v>443</v>
      </c>
      <c r="D24" s="23" t="s">
        <v>444</v>
      </c>
      <c r="E24" s="23" t="s">
        <v>445</v>
      </c>
    </row>
    <row r="25" spans="1:5" ht="16" customHeight="1" x14ac:dyDescent="0.2">
      <c r="A25" s="24" t="s">
        <v>446</v>
      </c>
      <c r="B25" s="2" t="s">
        <v>447</v>
      </c>
      <c r="C25" s="2" t="s">
        <v>448</v>
      </c>
      <c r="D25" s="2" t="s">
        <v>363</v>
      </c>
      <c r="E25" s="2" t="s">
        <v>449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/>
  </sheetViews>
  <sheetFormatPr baseColWidth="10" defaultColWidth="8.83203125" defaultRowHeight="15" x14ac:dyDescent="0.2"/>
  <cols>
    <col min="1" max="1" width="8" customWidth="1"/>
    <col min="2" max="2" width="60" customWidth="1"/>
    <col min="3" max="3" width="24" customWidth="1"/>
    <col min="4" max="4" width="80" customWidth="1"/>
  </cols>
  <sheetData>
    <row r="1" spans="1:4" ht="17" customHeight="1" x14ac:dyDescent="0.2">
      <c r="A1" s="44" t="s">
        <v>450</v>
      </c>
      <c r="B1" s="43"/>
      <c r="C1" s="43"/>
      <c r="D1" s="43"/>
    </row>
    <row r="3" spans="1:4" x14ac:dyDescent="0.2">
      <c r="A3" s="1" t="s">
        <v>451</v>
      </c>
      <c r="B3" s="1" t="s">
        <v>452</v>
      </c>
      <c r="C3" s="1" t="s">
        <v>3</v>
      </c>
      <c r="D3" s="1" t="s">
        <v>453</v>
      </c>
    </row>
    <row r="4" spans="1:4" ht="16" customHeight="1" x14ac:dyDescent="0.2">
      <c r="A4" s="25">
        <v>1</v>
      </c>
      <c r="B4" s="23" t="s">
        <v>454</v>
      </c>
      <c r="C4" s="25" t="s">
        <v>455</v>
      </c>
      <c r="D4" s="23" t="s">
        <v>456</v>
      </c>
    </row>
    <row r="5" spans="1:4" ht="16" customHeight="1" x14ac:dyDescent="0.2">
      <c r="A5" s="26">
        <v>2</v>
      </c>
      <c r="B5" s="2" t="s">
        <v>457</v>
      </c>
      <c r="C5" s="26" t="s">
        <v>308</v>
      </c>
      <c r="D5" s="2" t="s">
        <v>458</v>
      </c>
    </row>
    <row r="6" spans="1:4" ht="16" customHeight="1" x14ac:dyDescent="0.2">
      <c r="A6" s="25">
        <v>3</v>
      </c>
      <c r="B6" s="23" t="s">
        <v>459</v>
      </c>
      <c r="C6" s="25" t="s">
        <v>460</v>
      </c>
      <c r="D6" s="23" t="s">
        <v>461</v>
      </c>
    </row>
    <row r="7" spans="1:4" ht="16" customHeight="1" x14ac:dyDescent="0.2">
      <c r="A7" s="26">
        <v>4</v>
      </c>
      <c r="B7" s="2" t="s">
        <v>462</v>
      </c>
      <c r="C7" s="26" t="s">
        <v>455</v>
      </c>
      <c r="D7" s="2" t="s">
        <v>463</v>
      </c>
    </row>
    <row r="8" spans="1:4" ht="16" customHeight="1" x14ac:dyDescent="0.2">
      <c r="A8" s="25">
        <v>5</v>
      </c>
      <c r="B8" s="23" t="s">
        <v>464</v>
      </c>
      <c r="C8" s="25" t="s">
        <v>460</v>
      </c>
      <c r="D8" s="23" t="s">
        <v>465</v>
      </c>
    </row>
    <row r="9" spans="1:4" ht="16" customHeight="1" x14ac:dyDescent="0.2">
      <c r="A9" s="26">
        <v>6</v>
      </c>
      <c r="B9" s="2" t="s">
        <v>466</v>
      </c>
      <c r="C9" s="26" t="s">
        <v>460</v>
      </c>
      <c r="D9" s="2" t="s">
        <v>467</v>
      </c>
    </row>
    <row r="10" spans="1:4" ht="16" customHeight="1" x14ac:dyDescent="0.2">
      <c r="A10" s="25">
        <v>7</v>
      </c>
      <c r="B10" s="23" t="s">
        <v>122</v>
      </c>
      <c r="C10" s="25" t="s">
        <v>455</v>
      </c>
      <c r="D10" s="23" t="s">
        <v>468</v>
      </c>
    </row>
    <row r="11" spans="1:4" ht="16" customHeight="1" x14ac:dyDescent="0.2">
      <c r="A11" s="26">
        <v>8</v>
      </c>
      <c r="B11" s="2" t="s">
        <v>469</v>
      </c>
      <c r="C11" s="26" t="s">
        <v>455</v>
      </c>
      <c r="D11" s="2" t="s">
        <v>470</v>
      </c>
    </row>
    <row r="12" spans="1:4" ht="16" customHeight="1" x14ac:dyDescent="0.2">
      <c r="A12" s="25">
        <v>9</v>
      </c>
      <c r="B12" s="23" t="s">
        <v>471</v>
      </c>
      <c r="C12" s="25" t="s">
        <v>455</v>
      </c>
      <c r="D12" s="23" t="s">
        <v>472</v>
      </c>
    </row>
    <row r="13" spans="1:4" ht="16" customHeight="1" x14ac:dyDescent="0.2">
      <c r="A13" s="26">
        <v>10</v>
      </c>
      <c r="B13" s="2" t="s">
        <v>473</v>
      </c>
      <c r="C13" s="26" t="s">
        <v>455</v>
      </c>
      <c r="D13" s="2" t="s">
        <v>474</v>
      </c>
    </row>
    <row r="14" spans="1:4" ht="16" customHeight="1" x14ac:dyDescent="0.2">
      <c r="A14" s="25">
        <v>11</v>
      </c>
      <c r="B14" s="23" t="s">
        <v>475</v>
      </c>
      <c r="C14" s="25" t="s">
        <v>455</v>
      </c>
      <c r="D14" s="23" t="s">
        <v>476</v>
      </c>
    </row>
    <row r="15" spans="1:4" ht="16" customHeight="1" x14ac:dyDescent="0.2">
      <c r="A15" s="26">
        <v>12</v>
      </c>
      <c r="B15" s="2" t="s">
        <v>477</v>
      </c>
      <c r="C15" s="26" t="s">
        <v>455</v>
      </c>
      <c r="D15" s="2" t="s">
        <v>478</v>
      </c>
    </row>
    <row r="16" spans="1:4" ht="16" customHeight="1" x14ac:dyDescent="0.2">
      <c r="A16" s="25">
        <v>13</v>
      </c>
      <c r="B16" s="23" t="s">
        <v>479</v>
      </c>
      <c r="C16" s="25" t="s">
        <v>455</v>
      </c>
      <c r="D16" s="23" t="s">
        <v>480</v>
      </c>
    </row>
    <row r="17" spans="1:4" ht="16" customHeight="1" x14ac:dyDescent="0.2">
      <c r="A17" s="26">
        <v>14</v>
      </c>
      <c r="B17" s="2" t="s">
        <v>481</v>
      </c>
      <c r="C17" s="26" t="s">
        <v>455</v>
      </c>
      <c r="D17" s="2" t="s">
        <v>482</v>
      </c>
    </row>
    <row r="18" spans="1:4" ht="16" customHeight="1" x14ac:dyDescent="0.2">
      <c r="A18" s="25">
        <v>15</v>
      </c>
      <c r="B18" s="23" t="s">
        <v>483</v>
      </c>
      <c r="C18" s="25" t="s">
        <v>308</v>
      </c>
      <c r="D18" s="23" t="s">
        <v>484</v>
      </c>
    </row>
    <row r="19" spans="1:4" ht="16" customHeight="1" x14ac:dyDescent="0.2">
      <c r="A19" s="26">
        <v>16</v>
      </c>
      <c r="B19" s="2" t="s">
        <v>485</v>
      </c>
      <c r="C19" s="26" t="s">
        <v>460</v>
      </c>
      <c r="D19" s="2" t="s">
        <v>486</v>
      </c>
    </row>
    <row r="20" spans="1:4" ht="16" customHeight="1" x14ac:dyDescent="0.2">
      <c r="A20" s="25">
        <v>17</v>
      </c>
      <c r="B20" s="23" t="s">
        <v>487</v>
      </c>
      <c r="C20" s="25" t="s">
        <v>460</v>
      </c>
      <c r="D20" s="23" t="s">
        <v>488</v>
      </c>
    </row>
    <row r="21" spans="1:4" ht="16" customHeight="1" x14ac:dyDescent="0.2">
      <c r="A21" s="26">
        <v>18</v>
      </c>
      <c r="B21" s="2" t="s">
        <v>489</v>
      </c>
      <c r="C21" s="26" t="s">
        <v>490</v>
      </c>
      <c r="D21" s="2" t="s">
        <v>491</v>
      </c>
    </row>
    <row r="22" spans="1:4" ht="16" customHeight="1" x14ac:dyDescent="0.2">
      <c r="A22" s="25">
        <v>19</v>
      </c>
      <c r="B22" s="23" t="s">
        <v>492</v>
      </c>
      <c r="C22" s="25" t="s">
        <v>460</v>
      </c>
      <c r="D22" s="23" t="s">
        <v>493</v>
      </c>
    </row>
    <row r="23" spans="1:4" ht="16" customHeight="1" x14ac:dyDescent="0.2">
      <c r="A23" s="26">
        <v>20</v>
      </c>
      <c r="B23" s="2" t="s">
        <v>494</v>
      </c>
      <c r="C23" s="26" t="s">
        <v>455</v>
      </c>
      <c r="D23" s="2" t="s">
        <v>495</v>
      </c>
    </row>
    <row r="24" spans="1:4" ht="16" customHeight="1" x14ac:dyDescent="0.2">
      <c r="A24" s="25">
        <v>21</v>
      </c>
      <c r="B24" s="23" t="s">
        <v>496</v>
      </c>
      <c r="C24" s="25" t="s">
        <v>460</v>
      </c>
      <c r="D24" s="23" t="s">
        <v>497</v>
      </c>
    </row>
    <row r="25" spans="1:4" ht="16" customHeight="1" x14ac:dyDescent="0.2">
      <c r="A25" s="26">
        <v>22</v>
      </c>
      <c r="B25" s="2" t="s">
        <v>498</v>
      </c>
      <c r="C25" s="26" t="s">
        <v>455</v>
      </c>
      <c r="D25" s="2" t="s">
        <v>499</v>
      </c>
    </row>
    <row r="26" spans="1:4" ht="16" customHeight="1" x14ac:dyDescent="0.2">
      <c r="A26" s="25">
        <v>23</v>
      </c>
      <c r="B26" s="23" t="s">
        <v>500</v>
      </c>
      <c r="C26" s="25" t="s">
        <v>460</v>
      </c>
      <c r="D26" s="23" t="s">
        <v>501</v>
      </c>
    </row>
    <row r="27" spans="1:4" ht="16" customHeight="1" x14ac:dyDescent="0.2">
      <c r="A27" s="26">
        <v>24</v>
      </c>
      <c r="B27" s="2" t="s">
        <v>502</v>
      </c>
      <c r="C27" s="26" t="s">
        <v>503</v>
      </c>
      <c r="D27" s="2" t="s">
        <v>504</v>
      </c>
    </row>
    <row r="28" spans="1:4" ht="16" customHeight="1" x14ac:dyDescent="0.2">
      <c r="A28" s="25">
        <v>25</v>
      </c>
      <c r="B28" s="23" t="s">
        <v>505</v>
      </c>
      <c r="C28" s="25" t="s">
        <v>506</v>
      </c>
      <c r="D28" s="23" t="s">
        <v>507</v>
      </c>
    </row>
    <row r="29" spans="1:4" ht="16" customHeight="1" x14ac:dyDescent="0.2">
      <c r="A29" s="26">
        <v>26</v>
      </c>
      <c r="B29" s="2" t="s">
        <v>508</v>
      </c>
      <c r="C29" s="26" t="s">
        <v>509</v>
      </c>
      <c r="D29" s="2" t="s">
        <v>510</v>
      </c>
    </row>
    <row r="30" spans="1:4" ht="16" customHeight="1" x14ac:dyDescent="0.2">
      <c r="A30" s="25">
        <v>27</v>
      </c>
      <c r="B30" s="23" t="s">
        <v>511</v>
      </c>
      <c r="C30" s="25" t="s">
        <v>512</v>
      </c>
      <c r="D30" s="23" t="s">
        <v>513</v>
      </c>
    </row>
    <row r="31" spans="1:4" ht="16" customHeight="1" x14ac:dyDescent="0.2">
      <c r="A31" s="26">
        <v>28</v>
      </c>
      <c r="B31" s="2" t="s">
        <v>514</v>
      </c>
      <c r="C31" s="26" t="s">
        <v>515</v>
      </c>
      <c r="D31" s="2" t="s">
        <v>516</v>
      </c>
    </row>
    <row r="32" spans="1:4" ht="16" customHeight="1" x14ac:dyDescent="0.2">
      <c r="A32" s="25">
        <v>29</v>
      </c>
      <c r="B32" s="23" t="s">
        <v>517</v>
      </c>
      <c r="C32" s="25" t="s">
        <v>518</v>
      </c>
      <c r="D32" s="23" t="s">
        <v>519</v>
      </c>
    </row>
    <row r="33" spans="1:4" ht="16" customHeight="1" x14ac:dyDescent="0.2">
      <c r="A33" s="26">
        <v>30</v>
      </c>
      <c r="B33" s="2" t="s">
        <v>520</v>
      </c>
      <c r="C33" s="26" t="s">
        <v>521</v>
      </c>
      <c r="D33" s="2" t="s">
        <v>522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0"/>
  <sheetViews>
    <sheetView workbookViewId="0"/>
  </sheetViews>
  <sheetFormatPr baseColWidth="10" defaultColWidth="8.83203125" defaultRowHeight="15" x14ac:dyDescent="0.2"/>
  <cols>
    <col min="1" max="1" width="8" customWidth="1"/>
    <col min="2" max="2" width="90" customWidth="1"/>
  </cols>
  <sheetData>
    <row r="1" spans="1:2" ht="17" customHeight="1" x14ac:dyDescent="0.2">
      <c r="A1" s="44" t="s">
        <v>523</v>
      </c>
      <c r="B1" s="43"/>
    </row>
    <row r="3" spans="1:2" x14ac:dyDescent="0.2">
      <c r="A3" s="1" t="s">
        <v>451</v>
      </c>
      <c r="B3" s="1" t="s">
        <v>524</v>
      </c>
    </row>
    <row r="4" spans="1:2" x14ac:dyDescent="0.2">
      <c r="A4" s="50"/>
      <c r="B4" s="47"/>
    </row>
    <row r="5" spans="1:2" ht="16" customHeight="1" x14ac:dyDescent="0.2">
      <c r="A5" s="26">
        <v>1</v>
      </c>
      <c r="B5" s="2" t="s">
        <v>525</v>
      </c>
    </row>
    <row r="6" spans="1:2" ht="16" customHeight="1" x14ac:dyDescent="0.2">
      <c r="A6" s="25">
        <v>2</v>
      </c>
      <c r="B6" s="23" t="s">
        <v>526</v>
      </c>
    </row>
    <row r="7" spans="1:2" ht="16" customHeight="1" x14ac:dyDescent="0.2">
      <c r="A7" s="26">
        <v>3</v>
      </c>
      <c r="B7" s="2" t="s">
        <v>527</v>
      </c>
    </row>
    <row r="8" spans="1:2" ht="16" customHeight="1" x14ac:dyDescent="0.2">
      <c r="A8" s="25">
        <v>4</v>
      </c>
      <c r="B8" s="23" t="s">
        <v>528</v>
      </c>
    </row>
    <row r="9" spans="1:2" ht="16" customHeight="1" x14ac:dyDescent="0.2">
      <c r="A9" s="26">
        <v>5</v>
      </c>
      <c r="B9" s="2" t="s">
        <v>529</v>
      </c>
    </row>
    <row r="10" spans="1:2" ht="16" customHeight="1" x14ac:dyDescent="0.2">
      <c r="A10" s="25">
        <v>6</v>
      </c>
      <c r="B10" s="23" t="s">
        <v>530</v>
      </c>
    </row>
    <row r="11" spans="1:2" ht="16" customHeight="1" x14ac:dyDescent="0.2">
      <c r="A11" s="26">
        <v>7</v>
      </c>
      <c r="B11" s="2" t="s">
        <v>531</v>
      </c>
    </row>
    <row r="12" spans="1:2" ht="16" customHeight="1" x14ac:dyDescent="0.2">
      <c r="A12" s="25">
        <v>8</v>
      </c>
      <c r="B12" s="23" t="s">
        <v>532</v>
      </c>
    </row>
    <row r="13" spans="1:2" ht="16" customHeight="1" x14ac:dyDescent="0.2">
      <c r="A13" s="26">
        <v>9</v>
      </c>
      <c r="B13" s="2" t="s">
        <v>533</v>
      </c>
    </row>
    <row r="14" spans="1:2" ht="16" customHeight="1" x14ac:dyDescent="0.2">
      <c r="A14" s="25">
        <v>10</v>
      </c>
      <c r="B14" s="23" t="s">
        <v>534</v>
      </c>
    </row>
    <row r="15" spans="1:2" ht="16" customHeight="1" x14ac:dyDescent="0.2">
      <c r="A15" s="26">
        <v>11</v>
      </c>
      <c r="B15" s="2" t="s">
        <v>535</v>
      </c>
    </row>
    <row r="17" spans="1:2" x14ac:dyDescent="0.2">
      <c r="A17" s="50"/>
      <c r="B17" s="47"/>
    </row>
    <row r="18" spans="1:2" ht="32" customHeight="1" x14ac:dyDescent="0.2">
      <c r="A18" s="25">
        <v>12</v>
      </c>
      <c r="B18" s="23" t="s">
        <v>536</v>
      </c>
    </row>
    <row r="19" spans="1:2" ht="16" customHeight="1" x14ac:dyDescent="0.2">
      <c r="A19" s="26">
        <v>13</v>
      </c>
      <c r="B19" s="2" t="s">
        <v>537</v>
      </c>
    </row>
    <row r="20" spans="1:2" ht="16" customHeight="1" x14ac:dyDescent="0.2">
      <c r="A20" s="25">
        <v>14</v>
      </c>
      <c r="B20" s="23" t="s">
        <v>538</v>
      </c>
    </row>
    <row r="21" spans="1:2" ht="16" customHeight="1" x14ac:dyDescent="0.2">
      <c r="A21" s="26">
        <v>15</v>
      </c>
      <c r="B21" s="2" t="s">
        <v>539</v>
      </c>
    </row>
    <row r="22" spans="1:2" ht="16" customHeight="1" x14ac:dyDescent="0.2">
      <c r="A22" s="25">
        <v>16</v>
      </c>
      <c r="B22" s="23" t="s">
        <v>540</v>
      </c>
    </row>
    <row r="23" spans="1:2" ht="16" customHeight="1" x14ac:dyDescent="0.2">
      <c r="A23" s="26">
        <v>17</v>
      </c>
      <c r="B23" s="2" t="s">
        <v>541</v>
      </c>
    </row>
    <row r="25" spans="1:2" x14ac:dyDescent="0.2">
      <c r="A25" s="50"/>
      <c r="B25" s="47"/>
    </row>
    <row r="26" spans="1:2" ht="16" customHeight="1" x14ac:dyDescent="0.2">
      <c r="A26" s="25">
        <v>18</v>
      </c>
      <c r="B26" s="23" t="s">
        <v>542</v>
      </c>
    </row>
    <row r="27" spans="1:2" ht="16" customHeight="1" x14ac:dyDescent="0.2">
      <c r="A27" s="26">
        <v>19</v>
      </c>
      <c r="B27" s="2" t="s">
        <v>543</v>
      </c>
    </row>
    <row r="28" spans="1:2" ht="16" customHeight="1" x14ac:dyDescent="0.2">
      <c r="A28" s="25">
        <v>20</v>
      </c>
      <c r="B28" s="23" t="s">
        <v>544</v>
      </c>
    </row>
    <row r="29" spans="1:2" ht="16" customHeight="1" x14ac:dyDescent="0.2">
      <c r="A29" s="26">
        <v>21</v>
      </c>
      <c r="B29" s="2" t="s">
        <v>545</v>
      </c>
    </row>
    <row r="30" spans="1:2" ht="16" customHeight="1" x14ac:dyDescent="0.2">
      <c r="A30" s="25">
        <v>22</v>
      </c>
      <c r="B30" s="23" t="s">
        <v>546</v>
      </c>
    </row>
    <row r="32" spans="1:2" x14ac:dyDescent="0.2">
      <c r="A32" s="50"/>
      <c r="B32" s="47"/>
    </row>
    <row r="33" spans="1:2" ht="16" customHeight="1" x14ac:dyDescent="0.2">
      <c r="A33" s="26">
        <v>23</v>
      </c>
      <c r="B33" s="2" t="s">
        <v>547</v>
      </c>
    </row>
    <row r="34" spans="1:2" ht="16" customHeight="1" x14ac:dyDescent="0.2">
      <c r="A34" s="25">
        <v>24</v>
      </c>
      <c r="B34" s="23" t="s">
        <v>548</v>
      </c>
    </row>
    <row r="35" spans="1:2" ht="16" customHeight="1" x14ac:dyDescent="0.2">
      <c r="A35" s="26">
        <v>25</v>
      </c>
      <c r="B35" s="2" t="s">
        <v>549</v>
      </c>
    </row>
    <row r="37" spans="1:2" x14ac:dyDescent="0.2">
      <c r="A37" s="50"/>
      <c r="B37" s="47"/>
    </row>
    <row r="38" spans="1:2" ht="16" customHeight="1" x14ac:dyDescent="0.2">
      <c r="A38" s="25">
        <v>26</v>
      </c>
      <c r="B38" s="23" t="s">
        <v>550</v>
      </c>
    </row>
    <row r="39" spans="1:2" ht="16" customHeight="1" x14ac:dyDescent="0.2">
      <c r="A39" s="26">
        <v>27</v>
      </c>
      <c r="B39" s="2" t="s">
        <v>551</v>
      </c>
    </row>
    <row r="40" spans="1:2" ht="16" customHeight="1" x14ac:dyDescent="0.2">
      <c r="A40" s="25">
        <v>28</v>
      </c>
      <c r="B40" s="23" t="s">
        <v>552</v>
      </c>
    </row>
  </sheetData>
  <mergeCells count="6">
    <mergeCell ref="A4:B4"/>
    <mergeCell ref="A25:B25"/>
    <mergeCell ref="A37:B37"/>
    <mergeCell ref="A32:B32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Parametri</vt:lpstr>
      <vt:lpstr>Modello</vt:lpstr>
      <vt:lpstr>Output</vt:lpstr>
      <vt:lpstr>Confronto Bertonelli</vt:lpstr>
      <vt:lpstr>Fonti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Decorte</cp:lastModifiedBy>
  <dcterms:created xsi:type="dcterms:W3CDTF">2026-05-16T20:12:50Z</dcterms:created>
  <dcterms:modified xsi:type="dcterms:W3CDTF">2026-05-19T19:07:22Z</dcterms:modified>
</cp:coreProperties>
</file>